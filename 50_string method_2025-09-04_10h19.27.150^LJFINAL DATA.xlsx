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ignal detection/data/"/>
    </mc:Choice>
  </mc:AlternateContent>
  <xr:revisionPtr revIDLastSave="0" documentId="8_{6076DB0D-59D5-4E4B-948F-71E7A63B2470}" xr6:coauthVersionLast="47" xr6:coauthVersionMax="47" xr10:uidLastSave="{00000000-0000-0000-0000-000000000000}"/>
  <bookViews>
    <workbookView xWindow="-108" yWindow="-108" windowWidth="23256" windowHeight="12456" xr2:uid="{91B63AB9-F36A-46F9-93C2-D139071B909C}"/>
  </bookViews>
  <sheets>
    <sheet name="50_string method_2025-09-04_10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6" i="1" l="1"/>
  <c r="H106" i="1" s="1"/>
  <c r="C115" i="1"/>
  <c r="C114" i="1"/>
  <c r="G105" i="1" s="1"/>
  <c r="H105" i="1" s="1"/>
  <c r="G102" i="1"/>
  <c r="F102" i="1"/>
  <c r="E102" i="1"/>
  <c r="D102" i="1"/>
  <c r="G108" i="1" l="1"/>
  <c r="G107" i="1"/>
</calcChain>
</file>

<file path=xl/sharedStrings.xml><?xml version="1.0" encoding="utf-8"?>
<sst xmlns="http://schemas.openxmlformats.org/spreadsheetml/2006/main" count="132" uniqueCount="31">
  <si>
    <t>key_resp.keys</t>
  </si>
  <si>
    <t>key_resp.corr</t>
  </si>
  <si>
    <t>tilt</t>
  </si>
  <si>
    <t>Hit</t>
  </si>
  <si>
    <t>Miss</t>
  </si>
  <si>
    <t>False Alarm</t>
  </si>
  <si>
    <t>Correct rejection</t>
  </si>
  <si>
    <t>up</t>
  </si>
  <si>
    <t>down</t>
  </si>
  <si>
    <t>HIT</t>
  </si>
  <si>
    <t>MISS</t>
  </si>
  <si>
    <t>FALSE ALARM</t>
  </si>
  <si>
    <t>CORRECT REJECTION</t>
  </si>
  <si>
    <t>Respond YES</t>
  </si>
  <si>
    <t>Respond NO</t>
  </si>
  <si>
    <t xml:space="preserve">proportional hit </t>
  </si>
  <si>
    <t xml:space="preserve">Stimulus present </t>
  </si>
  <si>
    <t xml:space="preserve">proportional false alarm </t>
  </si>
  <si>
    <t>Stimulus absent</t>
  </si>
  <si>
    <t xml:space="preserve">D prime </t>
  </si>
  <si>
    <t>Criterion</t>
  </si>
  <si>
    <t>Correct Rejection</t>
  </si>
  <si>
    <t>Signal Present</t>
  </si>
  <si>
    <t>Signal Absent</t>
  </si>
  <si>
    <t>(hits+miss)</t>
  </si>
  <si>
    <t>(false alarm+corr rejec)</t>
  </si>
  <si>
    <t>hit/hit+miss</t>
  </si>
  <si>
    <t>fa/fa+corr rejection</t>
  </si>
  <si>
    <t>z value</t>
  </si>
  <si>
    <t>Z(Hit Rate)−Z(False Alarm Rate)</t>
  </si>
  <si>
    <t>(Z(Hit Rate)+Z(False Alarm Rate))/2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</si>
</sst>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Types of responses across 100 trials</a:t>
            </a:r>
          </a:p>
        </c:rich>
      </c:tx>
      <c:layout>
        <c:manualLayout>
          <c:xMode val="edge"/>
          <c:yMode val="edge"/>
          <c:x val="0.12030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'50_string method_2025-09-04_10h'!$A$110:$A$113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'50_string method_2025-09-04_10h'!$B$110:$B$113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A98-4EF7-991B-5A9FB5A05E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'50_string method_2025-09-04_10h'!$A$110:$A$113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'50_string method_2025-09-04_10h'!$C$110:$C$113</c:f>
              <c:numCache>
                <c:formatCode>General</c:formatCode>
                <c:ptCount val="4"/>
                <c:pt idx="0">
                  <c:v>31</c:v>
                </c:pt>
                <c:pt idx="1">
                  <c:v>21</c:v>
                </c:pt>
                <c:pt idx="2">
                  <c:v>20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8-4EF7-991B-5A9FB5A05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21040063"/>
        <c:axId val="1721063583"/>
      </c:barChart>
      <c:catAx>
        <c:axId val="172104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063583"/>
        <c:crosses val="autoZero"/>
        <c:auto val="1"/>
        <c:lblAlgn val="ctr"/>
        <c:lblOffset val="100"/>
        <c:noMultiLvlLbl val="0"/>
      </c:catAx>
      <c:valAx>
        <c:axId val="172106358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2104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Signal</a:t>
            </a:r>
            <a:r>
              <a:rPr lang="en-IN" baseline="0"/>
              <a:t> presence across Trial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A33-46D3-A5EB-F39FE69010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A33-46D3-A5EB-F39FE690104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'50_string method_2025-09-04_10h'!$A$114:$B$115</c:f>
              <c:multiLvlStrCache>
                <c:ptCount val="2"/>
                <c:lvl>
                  <c:pt idx="0">
                    <c:v>(hits+miss)</c:v>
                  </c:pt>
                  <c:pt idx="1">
                    <c:v>(false alarm+corr rejec)</c:v>
                  </c:pt>
                </c:lvl>
                <c:lvl>
                  <c:pt idx="0">
                    <c:v>Signal Present</c:v>
                  </c:pt>
                  <c:pt idx="1">
                    <c:v>Signal Absent</c:v>
                  </c:pt>
                </c:lvl>
              </c:multiLvlStrCache>
            </c:multiLvlStrRef>
          </c:cat>
          <c:val>
            <c:numRef>
              <c:f>'50_string method_2025-09-04_10h'!$C$114:$C$115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3-46D3-A5EB-F39FE690104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108</xdr:row>
      <xdr:rowOff>179070</xdr:rowOff>
    </xdr:from>
    <xdr:to>
      <xdr:col>11</xdr:col>
      <xdr:colOff>114300</xdr:colOff>
      <xdr:row>123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221B7-A9F1-ABAA-0779-4CE592D41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1013460</xdr:colOff>
      <xdr:row>117</xdr:row>
      <xdr:rowOff>140970</xdr:rowOff>
    </xdr:from>
    <xdr:to>
      <xdr:col>4</xdr:col>
      <xdr:colOff>1211580</xdr:colOff>
      <xdr:row>132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53894-A8F6-1A4F-4845-DC05D624D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69FD-7273-42C5-A34A-62D4A44E9436}">
  <dimension ref="A1:H115"/>
  <sheetViews>
    <sheetView tabSelected="1" topLeftCell="A86" workbookViewId="0">
      <selection activeCell="D116" sqref="D116"/>
    </sheetView>
  </sheetViews>
  <sheetFormatPr defaultRowHeight="14.4" x14ac:dyDescent="0.3"/>
  <cols>
    <col min="1" max="1" width="20.88671875" customWidth="1"/>
    <col min="2" max="2" width="19.6640625" customWidth="1"/>
    <col min="3" max="3" width="20.6640625" customWidth="1"/>
    <col min="4" max="4" width="23.44140625" customWidth="1"/>
    <col min="5" max="5" width="22.44140625" customWidth="1"/>
    <col min="6" max="6" width="2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-2</v>
      </c>
      <c r="F2">
        <v>1</v>
      </c>
    </row>
    <row r="3" spans="1:7" x14ac:dyDescent="0.3">
      <c r="A3" t="s">
        <v>8</v>
      </c>
      <c r="B3">
        <v>0</v>
      </c>
      <c r="C3">
        <v>0</v>
      </c>
      <c r="E3">
        <v>1</v>
      </c>
    </row>
    <row r="4" spans="1:7" x14ac:dyDescent="0.3">
      <c r="A4" t="s">
        <v>7</v>
      </c>
      <c r="B4">
        <v>1</v>
      </c>
      <c r="C4">
        <v>0</v>
      </c>
      <c r="D4">
        <v>1</v>
      </c>
    </row>
    <row r="5" spans="1:7" x14ac:dyDescent="0.3">
      <c r="A5" t="s">
        <v>8</v>
      </c>
      <c r="B5">
        <v>1</v>
      </c>
      <c r="C5">
        <v>-1</v>
      </c>
      <c r="G5">
        <v>1</v>
      </c>
    </row>
    <row r="6" spans="1:7" x14ac:dyDescent="0.3">
      <c r="A6" t="s">
        <v>8</v>
      </c>
      <c r="B6">
        <v>1</v>
      </c>
      <c r="C6">
        <v>3</v>
      </c>
      <c r="G6">
        <v>1</v>
      </c>
    </row>
    <row r="7" spans="1:7" x14ac:dyDescent="0.3">
      <c r="A7" t="s">
        <v>7</v>
      </c>
      <c r="B7">
        <v>1</v>
      </c>
      <c r="C7">
        <v>0</v>
      </c>
      <c r="D7">
        <v>1</v>
      </c>
    </row>
    <row r="8" spans="1:7" x14ac:dyDescent="0.3">
      <c r="A8" t="s">
        <v>8</v>
      </c>
      <c r="B8">
        <v>1</v>
      </c>
      <c r="C8">
        <v>-1</v>
      </c>
      <c r="G8">
        <v>1</v>
      </c>
    </row>
    <row r="9" spans="1:7" x14ac:dyDescent="0.3">
      <c r="A9" t="s">
        <v>7</v>
      </c>
      <c r="B9">
        <v>1</v>
      </c>
      <c r="C9">
        <v>0</v>
      </c>
      <c r="D9">
        <v>1</v>
      </c>
    </row>
    <row r="10" spans="1:7" x14ac:dyDescent="0.3">
      <c r="A10" t="s">
        <v>8</v>
      </c>
      <c r="B10">
        <v>1</v>
      </c>
      <c r="C10">
        <v>1</v>
      </c>
      <c r="G10">
        <v>1</v>
      </c>
    </row>
    <row r="11" spans="1:7" x14ac:dyDescent="0.3">
      <c r="A11" t="s">
        <v>7</v>
      </c>
      <c r="B11">
        <v>0</v>
      </c>
      <c r="C11">
        <v>0</v>
      </c>
      <c r="D11">
        <v>1</v>
      </c>
    </row>
    <row r="12" spans="1:7" x14ac:dyDescent="0.3">
      <c r="A12" t="s">
        <v>8</v>
      </c>
      <c r="B12">
        <v>0</v>
      </c>
      <c r="C12">
        <v>0</v>
      </c>
      <c r="E12">
        <v>1</v>
      </c>
    </row>
    <row r="13" spans="1:7" x14ac:dyDescent="0.3">
      <c r="A13" t="s">
        <v>7</v>
      </c>
      <c r="B13">
        <v>0</v>
      </c>
      <c r="C13">
        <v>4</v>
      </c>
      <c r="F13">
        <v>1</v>
      </c>
    </row>
    <row r="14" spans="1:7" x14ac:dyDescent="0.3">
      <c r="A14" t="s">
        <v>7</v>
      </c>
      <c r="B14">
        <v>0</v>
      </c>
      <c r="C14">
        <v>0</v>
      </c>
      <c r="D14">
        <v>1</v>
      </c>
    </row>
    <row r="15" spans="1:7" x14ac:dyDescent="0.3">
      <c r="A15" t="s">
        <v>8</v>
      </c>
      <c r="B15">
        <v>0</v>
      </c>
      <c r="C15">
        <v>0</v>
      </c>
      <c r="E15">
        <v>1</v>
      </c>
    </row>
    <row r="16" spans="1:7" x14ac:dyDescent="0.3">
      <c r="A16" t="s">
        <v>7</v>
      </c>
      <c r="B16">
        <v>1</v>
      </c>
      <c r="C16">
        <v>0</v>
      </c>
      <c r="D16">
        <v>1</v>
      </c>
    </row>
    <row r="17" spans="1:7" x14ac:dyDescent="0.3">
      <c r="A17" t="s">
        <v>8</v>
      </c>
      <c r="B17">
        <v>1</v>
      </c>
      <c r="C17">
        <v>-4</v>
      </c>
      <c r="G17">
        <v>1</v>
      </c>
    </row>
    <row r="18" spans="1:7" x14ac:dyDescent="0.3">
      <c r="A18" t="s">
        <v>7</v>
      </c>
      <c r="B18">
        <v>1</v>
      </c>
      <c r="C18">
        <v>0</v>
      </c>
      <c r="D18">
        <v>1</v>
      </c>
    </row>
    <row r="19" spans="1:7" x14ac:dyDescent="0.3">
      <c r="A19" t="s">
        <v>8</v>
      </c>
      <c r="B19">
        <v>1</v>
      </c>
      <c r="C19">
        <v>2</v>
      </c>
      <c r="G19">
        <v>1</v>
      </c>
    </row>
    <row r="20" spans="1:7" x14ac:dyDescent="0.3">
      <c r="A20" t="s">
        <v>8</v>
      </c>
      <c r="B20">
        <v>1</v>
      </c>
      <c r="C20">
        <v>3</v>
      </c>
      <c r="G20">
        <v>1</v>
      </c>
    </row>
    <row r="21" spans="1:7" x14ac:dyDescent="0.3">
      <c r="A21" t="s">
        <v>7</v>
      </c>
      <c r="B21">
        <v>1</v>
      </c>
      <c r="C21">
        <v>0</v>
      </c>
      <c r="D21">
        <v>1</v>
      </c>
    </row>
    <row r="22" spans="1:7" x14ac:dyDescent="0.3">
      <c r="A22" t="s">
        <v>8</v>
      </c>
      <c r="B22">
        <v>0</v>
      </c>
      <c r="C22">
        <v>0</v>
      </c>
      <c r="E22">
        <v>1</v>
      </c>
    </row>
    <row r="23" spans="1:7" x14ac:dyDescent="0.3">
      <c r="A23" t="s">
        <v>7</v>
      </c>
      <c r="B23">
        <v>1</v>
      </c>
      <c r="C23">
        <v>0</v>
      </c>
      <c r="D23">
        <v>1</v>
      </c>
    </row>
    <row r="24" spans="1:7" x14ac:dyDescent="0.3">
      <c r="A24" t="s">
        <v>7</v>
      </c>
      <c r="B24">
        <v>1</v>
      </c>
      <c r="C24">
        <v>0</v>
      </c>
      <c r="D24">
        <v>1</v>
      </c>
    </row>
    <row r="25" spans="1:7" x14ac:dyDescent="0.3">
      <c r="A25" t="s">
        <v>8</v>
      </c>
      <c r="B25">
        <v>1</v>
      </c>
      <c r="C25">
        <v>-2</v>
      </c>
      <c r="G25">
        <v>1</v>
      </c>
    </row>
    <row r="26" spans="1:7" x14ac:dyDescent="0.3">
      <c r="A26" t="s">
        <v>7</v>
      </c>
      <c r="B26">
        <v>1</v>
      </c>
      <c r="C26">
        <v>0</v>
      </c>
      <c r="D26">
        <v>1</v>
      </c>
    </row>
    <row r="27" spans="1:7" x14ac:dyDescent="0.3">
      <c r="A27" t="s">
        <v>8</v>
      </c>
      <c r="B27">
        <v>0</v>
      </c>
      <c r="C27">
        <v>0</v>
      </c>
      <c r="E27">
        <v>1</v>
      </c>
    </row>
    <row r="28" spans="1:7" x14ac:dyDescent="0.3">
      <c r="A28" t="s">
        <v>7</v>
      </c>
      <c r="B28">
        <v>0</v>
      </c>
      <c r="C28">
        <v>-3</v>
      </c>
      <c r="F28">
        <v>1</v>
      </c>
    </row>
    <row r="29" spans="1:7" x14ac:dyDescent="0.3">
      <c r="A29" t="s">
        <v>8</v>
      </c>
      <c r="B29">
        <v>1</v>
      </c>
      <c r="C29">
        <v>-2</v>
      </c>
      <c r="G29">
        <v>1</v>
      </c>
    </row>
    <row r="30" spans="1:7" x14ac:dyDescent="0.3">
      <c r="A30" t="s">
        <v>7</v>
      </c>
      <c r="B30">
        <v>1</v>
      </c>
      <c r="C30">
        <v>0</v>
      </c>
      <c r="D30">
        <v>1</v>
      </c>
    </row>
    <row r="31" spans="1:7" x14ac:dyDescent="0.3">
      <c r="A31" t="s">
        <v>7</v>
      </c>
      <c r="B31">
        <v>0</v>
      </c>
      <c r="C31">
        <v>3</v>
      </c>
      <c r="F31">
        <v>1</v>
      </c>
    </row>
    <row r="32" spans="1:7" x14ac:dyDescent="0.3">
      <c r="A32" t="s">
        <v>7</v>
      </c>
      <c r="B32">
        <v>1</v>
      </c>
      <c r="C32">
        <v>0</v>
      </c>
      <c r="D32">
        <v>1</v>
      </c>
    </row>
    <row r="33" spans="1:7" x14ac:dyDescent="0.3">
      <c r="A33" t="s">
        <v>8</v>
      </c>
      <c r="B33">
        <v>1</v>
      </c>
      <c r="C33">
        <v>-3</v>
      </c>
      <c r="G33">
        <v>1</v>
      </c>
    </row>
    <row r="34" spans="1:7" x14ac:dyDescent="0.3">
      <c r="A34" t="s">
        <v>7</v>
      </c>
      <c r="B34">
        <v>1</v>
      </c>
      <c r="C34">
        <v>0</v>
      </c>
      <c r="D34">
        <v>1</v>
      </c>
    </row>
    <row r="35" spans="1:7" x14ac:dyDescent="0.3">
      <c r="A35" t="s">
        <v>7</v>
      </c>
      <c r="B35">
        <v>0</v>
      </c>
      <c r="C35">
        <v>4</v>
      </c>
      <c r="F35">
        <v>1</v>
      </c>
    </row>
    <row r="36" spans="1:7" x14ac:dyDescent="0.3">
      <c r="A36" t="s">
        <v>8</v>
      </c>
      <c r="B36">
        <v>1</v>
      </c>
      <c r="C36">
        <v>-5</v>
      </c>
      <c r="G36">
        <v>1</v>
      </c>
    </row>
    <row r="37" spans="1:7" x14ac:dyDescent="0.3">
      <c r="A37" t="s">
        <v>8</v>
      </c>
      <c r="B37">
        <v>1</v>
      </c>
      <c r="C37">
        <v>4</v>
      </c>
      <c r="G37">
        <v>1</v>
      </c>
    </row>
    <row r="38" spans="1:7" x14ac:dyDescent="0.3">
      <c r="A38" t="s">
        <v>8</v>
      </c>
      <c r="B38">
        <v>1</v>
      </c>
      <c r="C38">
        <v>-5</v>
      </c>
      <c r="G38">
        <v>1</v>
      </c>
    </row>
    <row r="39" spans="1:7" x14ac:dyDescent="0.3">
      <c r="A39" t="s">
        <v>7</v>
      </c>
      <c r="B39">
        <v>0</v>
      </c>
      <c r="C39">
        <v>4</v>
      </c>
      <c r="F39">
        <v>1</v>
      </c>
    </row>
    <row r="40" spans="1:7" x14ac:dyDescent="0.3">
      <c r="A40" t="s">
        <v>8</v>
      </c>
      <c r="B40">
        <v>1</v>
      </c>
      <c r="C40">
        <v>1</v>
      </c>
      <c r="G40">
        <v>1</v>
      </c>
    </row>
    <row r="41" spans="1:7" x14ac:dyDescent="0.3">
      <c r="A41" t="s">
        <v>8</v>
      </c>
      <c r="B41">
        <v>1</v>
      </c>
      <c r="C41">
        <v>2</v>
      </c>
      <c r="G41">
        <v>1</v>
      </c>
    </row>
    <row r="42" spans="1:7" x14ac:dyDescent="0.3">
      <c r="A42" t="s">
        <v>8</v>
      </c>
      <c r="B42">
        <v>1</v>
      </c>
      <c r="C42">
        <v>1</v>
      </c>
      <c r="G42">
        <v>1</v>
      </c>
    </row>
    <row r="43" spans="1:7" x14ac:dyDescent="0.3">
      <c r="A43" t="s">
        <v>8</v>
      </c>
      <c r="B43">
        <v>0</v>
      </c>
      <c r="C43">
        <v>0</v>
      </c>
      <c r="E43">
        <v>1</v>
      </c>
    </row>
    <row r="44" spans="1:7" x14ac:dyDescent="0.3">
      <c r="A44" t="s">
        <v>7</v>
      </c>
      <c r="B44">
        <v>1</v>
      </c>
      <c r="C44">
        <v>0</v>
      </c>
      <c r="D44">
        <v>1</v>
      </c>
    </row>
    <row r="45" spans="1:7" x14ac:dyDescent="0.3">
      <c r="A45" t="s">
        <v>8</v>
      </c>
      <c r="B45">
        <v>1</v>
      </c>
      <c r="C45">
        <v>-4</v>
      </c>
      <c r="G45">
        <v>1</v>
      </c>
    </row>
    <row r="46" spans="1:7" x14ac:dyDescent="0.3">
      <c r="A46" t="s">
        <v>7</v>
      </c>
      <c r="B46">
        <v>0</v>
      </c>
      <c r="C46">
        <v>-1</v>
      </c>
      <c r="F46">
        <v>1</v>
      </c>
    </row>
    <row r="47" spans="1:7" x14ac:dyDescent="0.3">
      <c r="A47" t="s">
        <v>7</v>
      </c>
      <c r="B47">
        <v>0</v>
      </c>
      <c r="C47">
        <v>0</v>
      </c>
      <c r="D47">
        <v>1</v>
      </c>
    </row>
    <row r="48" spans="1:7" x14ac:dyDescent="0.3">
      <c r="A48" t="s">
        <v>8</v>
      </c>
      <c r="B48">
        <v>1</v>
      </c>
      <c r="C48">
        <v>4</v>
      </c>
      <c r="G48">
        <v>1</v>
      </c>
    </row>
    <row r="49" spans="1:7" x14ac:dyDescent="0.3">
      <c r="A49" t="s">
        <v>7</v>
      </c>
      <c r="B49">
        <v>0</v>
      </c>
      <c r="C49">
        <v>2</v>
      </c>
      <c r="F49">
        <v>1</v>
      </c>
    </row>
    <row r="50" spans="1:7" x14ac:dyDescent="0.3">
      <c r="A50" t="s">
        <v>8</v>
      </c>
      <c r="B50">
        <v>0</v>
      </c>
      <c r="C50">
        <v>0</v>
      </c>
      <c r="E50">
        <v>1</v>
      </c>
    </row>
    <row r="51" spans="1:7" x14ac:dyDescent="0.3">
      <c r="A51" t="s">
        <v>7</v>
      </c>
      <c r="B51">
        <v>1</v>
      </c>
      <c r="C51">
        <v>0</v>
      </c>
      <c r="D51">
        <v>1</v>
      </c>
    </row>
    <row r="52" spans="1:7" x14ac:dyDescent="0.3">
      <c r="A52" t="s">
        <v>8</v>
      </c>
      <c r="B52">
        <v>1</v>
      </c>
      <c r="C52">
        <v>-5</v>
      </c>
      <c r="G52">
        <v>1</v>
      </c>
    </row>
    <row r="53" spans="1:7" x14ac:dyDescent="0.3">
      <c r="A53" t="s">
        <v>8</v>
      </c>
      <c r="B53">
        <v>0</v>
      </c>
      <c r="C53">
        <v>0</v>
      </c>
      <c r="E53">
        <v>1</v>
      </c>
    </row>
    <row r="54" spans="1:7" x14ac:dyDescent="0.3">
      <c r="A54" t="s">
        <v>7</v>
      </c>
      <c r="B54">
        <v>1</v>
      </c>
      <c r="C54">
        <v>0</v>
      </c>
      <c r="D54">
        <v>1</v>
      </c>
    </row>
    <row r="55" spans="1:7" x14ac:dyDescent="0.3">
      <c r="A55" t="s">
        <v>8</v>
      </c>
      <c r="B55">
        <v>0</v>
      </c>
      <c r="C55">
        <v>0</v>
      </c>
      <c r="E55">
        <v>1</v>
      </c>
    </row>
    <row r="56" spans="1:7" x14ac:dyDescent="0.3">
      <c r="A56" t="s">
        <v>7</v>
      </c>
      <c r="B56">
        <v>1</v>
      </c>
      <c r="C56">
        <v>0</v>
      </c>
      <c r="D56">
        <v>1</v>
      </c>
    </row>
    <row r="57" spans="1:7" x14ac:dyDescent="0.3">
      <c r="A57" t="s">
        <v>8</v>
      </c>
      <c r="B57">
        <v>1</v>
      </c>
      <c r="C57">
        <v>0</v>
      </c>
      <c r="G57">
        <v>1</v>
      </c>
    </row>
    <row r="58" spans="1:7" x14ac:dyDescent="0.3">
      <c r="A58" t="s">
        <v>7</v>
      </c>
      <c r="B58">
        <v>1</v>
      </c>
      <c r="C58">
        <v>0</v>
      </c>
      <c r="D58">
        <v>1</v>
      </c>
    </row>
    <row r="59" spans="1:7" x14ac:dyDescent="0.3">
      <c r="A59" t="s">
        <v>8</v>
      </c>
      <c r="B59">
        <v>0</v>
      </c>
      <c r="C59">
        <v>0</v>
      </c>
      <c r="E59">
        <v>1</v>
      </c>
    </row>
    <row r="60" spans="1:7" x14ac:dyDescent="0.3">
      <c r="A60" t="s">
        <v>7</v>
      </c>
      <c r="B60">
        <v>1</v>
      </c>
      <c r="C60">
        <v>0</v>
      </c>
      <c r="D60">
        <v>1</v>
      </c>
    </row>
    <row r="61" spans="1:7" x14ac:dyDescent="0.3">
      <c r="A61" t="s">
        <v>8</v>
      </c>
      <c r="B61">
        <v>0</v>
      </c>
      <c r="C61">
        <v>0</v>
      </c>
      <c r="E61">
        <v>1</v>
      </c>
    </row>
    <row r="62" spans="1:7" x14ac:dyDescent="0.3">
      <c r="A62" t="s">
        <v>7</v>
      </c>
      <c r="B62">
        <v>1</v>
      </c>
      <c r="C62">
        <v>0</v>
      </c>
      <c r="D62">
        <v>1</v>
      </c>
    </row>
    <row r="63" spans="1:7" x14ac:dyDescent="0.3">
      <c r="A63" t="s">
        <v>7</v>
      </c>
      <c r="B63">
        <v>1</v>
      </c>
      <c r="C63">
        <v>0</v>
      </c>
      <c r="D63">
        <v>1</v>
      </c>
    </row>
    <row r="64" spans="1:7" x14ac:dyDescent="0.3">
      <c r="A64" t="s">
        <v>7</v>
      </c>
      <c r="B64">
        <v>1</v>
      </c>
      <c r="C64">
        <v>0</v>
      </c>
      <c r="D64">
        <v>1</v>
      </c>
    </row>
    <row r="65" spans="1:7" x14ac:dyDescent="0.3">
      <c r="A65" t="s">
        <v>7</v>
      </c>
      <c r="B65">
        <v>0</v>
      </c>
      <c r="C65">
        <v>-1</v>
      </c>
      <c r="F65">
        <v>1</v>
      </c>
    </row>
    <row r="66" spans="1:7" x14ac:dyDescent="0.3">
      <c r="A66" t="s">
        <v>7</v>
      </c>
      <c r="B66">
        <v>0</v>
      </c>
      <c r="C66">
        <v>1</v>
      </c>
      <c r="F66">
        <v>1</v>
      </c>
    </row>
    <row r="67" spans="1:7" x14ac:dyDescent="0.3">
      <c r="A67" t="s">
        <v>8</v>
      </c>
      <c r="B67">
        <v>1</v>
      </c>
      <c r="C67">
        <v>4</v>
      </c>
      <c r="G67">
        <v>1</v>
      </c>
    </row>
    <row r="68" spans="1:7" x14ac:dyDescent="0.3">
      <c r="A68" t="s">
        <v>7</v>
      </c>
      <c r="B68">
        <v>0</v>
      </c>
      <c r="C68">
        <v>-5</v>
      </c>
      <c r="F68">
        <v>1</v>
      </c>
    </row>
    <row r="69" spans="1:7" x14ac:dyDescent="0.3">
      <c r="A69" t="s">
        <v>7</v>
      </c>
      <c r="B69">
        <v>1</v>
      </c>
      <c r="C69">
        <v>0</v>
      </c>
      <c r="D69">
        <v>1</v>
      </c>
    </row>
    <row r="70" spans="1:7" x14ac:dyDescent="0.3">
      <c r="A70" t="s">
        <v>7</v>
      </c>
      <c r="B70">
        <v>0</v>
      </c>
      <c r="C70">
        <v>0</v>
      </c>
      <c r="D70">
        <v>1</v>
      </c>
    </row>
    <row r="71" spans="1:7" x14ac:dyDescent="0.3">
      <c r="A71" t="s">
        <v>8</v>
      </c>
      <c r="B71">
        <v>1</v>
      </c>
      <c r="C71">
        <v>3</v>
      </c>
      <c r="G71">
        <v>1</v>
      </c>
    </row>
    <row r="72" spans="1:7" x14ac:dyDescent="0.3">
      <c r="A72" t="s">
        <v>8</v>
      </c>
      <c r="B72">
        <v>0</v>
      </c>
      <c r="C72">
        <v>0</v>
      </c>
      <c r="E72">
        <v>1</v>
      </c>
    </row>
    <row r="73" spans="1:7" x14ac:dyDescent="0.3">
      <c r="A73" t="s">
        <v>8</v>
      </c>
      <c r="B73">
        <v>0</v>
      </c>
      <c r="C73">
        <v>0</v>
      </c>
      <c r="E73">
        <v>1</v>
      </c>
    </row>
    <row r="74" spans="1:7" x14ac:dyDescent="0.3">
      <c r="A74" t="s">
        <v>7</v>
      </c>
      <c r="B74">
        <v>0</v>
      </c>
      <c r="C74">
        <v>0</v>
      </c>
      <c r="D74">
        <v>1</v>
      </c>
    </row>
    <row r="75" spans="1:7" x14ac:dyDescent="0.3">
      <c r="A75" t="s">
        <v>8</v>
      </c>
      <c r="B75">
        <v>1</v>
      </c>
      <c r="C75">
        <v>3</v>
      </c>
      <c r="G75">
        <v>1</v>
      </c>
    </row>
    <row r="76" spans="1:7" x14ac:dyDescent="0.3">
      <c r="A76" t="s">
        <v>7</v>
      </c>
      <c r="B76">
        <v>0</v>
      </c>
      <c r="C76">
        <v>-5</v>
      </c>
      <c r="F76">
        <v>1</v>
      </c>
    </row>
    <row r="77" spans="1:7" x14ac:dyDescent="0.3">
      <c r="A77" t="s">
        <v>8</v>
      </c>
      <c r="B77">
        <v>1</v>
      </c>
      <c r="C77">
        <v>4</v>
      </c>
      <c r="G77">
        <v>1</v>
      </c>
    </row>
    <row r="78" spans="1:7" x14ac:dyDescent="0.3">
      <c r="A78" t="s">
        <v>7</v>
      </c>
      <c r="B78">
        <v>1</v>
      </c>
      <c r="C78">
        <v>0</v>
      </c>
      <c r="D78">
        <v>1</v>
      </c>
    </row>
    <row r="79" spans="1:7" x14ac:dyDescent="0.3">
      <c r="A79" t="s">
        <v>8</v>
      </c>
      <c r="B79">
        <v>1</v>
      </c>
      <c r="C79">
        <v>0</v>
      </c>
      <c r="E79">
        <v>1</v>
      </c>
    </row>
    <row r="80" spans="1:7" x14ac:dyDescent="0.3">
      <c r="A80" t="s">
        <v>8</v>
      </c>
      <c r="B80">
        <v>0</v>
      </c>
      <c r="C80">
        <v>0</v>
      </c>
      <c r="E80">
        <v>1</v>
      </c>
    </row>
    <row r="81" spans="1:7" x14ac:dyDescent="0.3">
      <c r="A81" t="s">
        <v>8</v>
      </c>
      <c r="B81">
        <v>0</v>
      </c>
      <c r="C81">
        <v>0</v>
      </c>
      <c r="E81">
        <v>1</v>
      </c>
    </row>
    <row r="82" spans="1:7" x14ac:dyDescent="0.3">
      <c r="A82" t="s">
        <v>8</v>
      </c>
      <c r="B82">
        <v>0</v>
      </c>
      <c r="C82">
        <v>0</v>
      </c>
      <c r="E82">
        <v>1</v>
      </c>
    </row>
    <row r="83" spans="1:7" x14ac:dyDescent="0.3">
      <c r="A83" t="s">
        <v>8</v>
      </c>
      <c r="B83">
        <v>1</v>
      </c>
      <c r="C83">
        <v>1</v>
      </c>
      <c r="G83">
        <v>1</v>
      </c>
    </row>
    <row r="84" spans="1:7" x14ac:dyDescent="0.3">
      <c r="A84" t="s">
        <v>7</v>
      </c>
      <c r="B84">
        <v>0</v>
      </c>
      <c r="C84">
        <v>-3</v>
      </c>
      <c r="F84">
        <v>1</v>
      </c>
    </row>
    <row r="85" spans="1:7" x14ac:dyDescent="0.3">
      <c r="A85" t="s">
        <v>7</v>
      </c>
      <c r="B85">
        <v>0</v>
      </c>
      <c r="C85">
        <v>1</v>
      </c>
      <c r="F85">
        <v>1</v>
      </c>
    </row>
    <row r="86" spans="1:7" x14ac:dyDescent="0.3">
      <c r="A86" t="s">
        <v>7</v>
      </c>
      <c r="B86">
        <v>0</v>
      </c>
      <c r="C86">
        <v>-4</v>
      </c>
      <c r="F86">
        <v>1</v>
      </c>
    </row>
    <row r="87" spans="1:7" x14ac:dyDescent="0.3">
      <c r="A87" t="s">
        <v>7</v>
      </c>
      <c r="B87">
        <v>0</v>
      </c>
      <c r="C87">
        <v>-2</v>
      </c>
      <c r="F87">
        <v>1</v>
      </c>
    </row>
    <row r="88" spans="1:7" x14ac:dyDescent="0.3">
      <c r="A88" t="s">
        <v>8</v>
      </c>
      <c r="B88">
        <v>0</v>
      </c>
      <c r="C88">
        <v>0</v>
      </c>
      <c r="E88">
        <v>1</v>
      </c>
    </row>
    <row r="89" spans="1:7" x14ac:dyDescent="0.3">
      <c r="A89" t="s">
        <v>8</v>
      </c>
      <c r="B89">
        <v>1</v>
      </c>
      <c r="C89">
        <v>-3</v>
      </c>
      <c r="G89">
        <v>1</v>
      </c>
    </row>
    <row r="90" spans="1:7" x14ac:dyDescent="0.3">
      <c r="A90" t="s">
        <v>8</v>
      </c>
      <c r="B90">
        <v>1</v>
      </c>
      <c r="C90">
        <v>-4</v>
      </c>
      <c r="G90">
        <v>1</v>
      </c>
    </row>
    <row r="91" spans="1:7" x14ac:dyDescent="0.3">
      <c r="A91" t="s">
        <v>7</v>
      </c>
      <c r="B91">
        <v>0</v>
      </c>
      <c r="C91">
        <v>1</v>
      </c>
      <c r="F91">
        <v>1</v>
      </c>
    </row>
    <row r="92" spans="1:7" x14ac:dyDescent="0.3">
      <c r="A92" t="s">
        <v>7</v>
      </c>
      <c r="B92">
        <v>1</v>
      </c>
      <c r="C92">
        <v>0</v>
      </c>
      <c r="D92">
        <v>1</v>
      </c>
    </row>
    <row r="93" spans="1:7" x14ac:dyDescent="0.3">
      <c r="A93" t="s">
        <v>7</v>
      </c>
      <c r="B93">
        <v>1</v>
      </c>
      <c r="C93">
        <v>0</v>
      </c>
      <c r="D93">
        <v>1</v>
      </c>
    </row>
    <row r="94" spans="1:7" x14ac:dyDescent="0.3">
      <c r="A94" t="s">
        <v>7</v>
      </c>
      <c r="B94">
        <v>1</v>
      </c>
      <c r="C94">
        <v>0</v>
      </c>
      <c r="D94">
        <v>1</v>
      </c>
    </row>
    <row r="95" spans="1:7" x14ac:dyDescent="0.3">
      <c r="A95" t="s">
        <v>7</v>
      </c>
      <c r="B95">
        <v>0</v>
      </c>
      <c r="C95">
        <v>1</v>
      </c>
      <c r="F95">
        <v>1</v>
      </c>
    </row>
    <row r="96" spans="1:7" x14ac:dyDescent="0.3">
      <c r="A96" t="s">
        <v>7</v>
      </c>
      <c r="B96">
        <v>0</v>
      </c>
      <c r="C96">
        <v>-3</v>
      </c>
      <c r="F96">
        <v>1</v>
      </c>
    </row>
    <row r="97" spans="1:8" x14ac:dyDescent="0.3">
      <c r="A97" t="s">
        <v>8</v>
      </c>
      <c r="B97">
        <v>0</v>
      </c>
      <c r="C97">
        <v>0</v>
      </c>
      <c r="E97">
        <v>1</v>
      </c>
    </row>
    <row r="98" spans="1:8" x14ac:dyDescent="0.3">
      <c r="A98" t="s">
        <v>7</v>
      </c>
      <c r="B98">
        <v>0</v>
      </c>
      <c r="C98">
        <v>2</v>
      </c>
      <c r="F98">
        <v>1</v>
      </c>
    </row>
    <row r="99" spans="1:8" x14ac:dyDescent="0.3">
      <c r="A99" t="s">
        <v>8</v>
      </c>
      <c r="B99">
        <v>1</v>
      </c>
      <c r="C99">
        <v>3</v>
      </c>
      <c r="G99">
        <v>1</v>
      </c>
    </row>
    <row r="100" spans="1:8" x14ac:dyDescent="0.3">
      <c r="A100" t="s">
        <v>8</v>
      </c>
      <c r="B100">
        <v>0</v>
      </c>
      <c r="C100">
        <v>0</v>
      </c>
      <c r="E100">
        <v>1</v>
      </c>
    </row>
    <row r="101" spans="1:8" x14ac:dyDescent="0.3">
      <c r="A101" t="s">
        <v>8</v>
      </c>
      <c r="B101">
        <v>0</v>
      </c>
      <c r="C101">
        <v>0</v>
      </c>
      <c r="E101">
        <v>1</v>
      </c>
    </row>
    <row r="102" spans="1:8" x14ac:dyDescent="0.3">
      <c r="D102">
        <f>SUM(D2:D101)</f>
        <v>31</v>
      </c>
      <c r="E102">
        <f>SUM(E2:E101)</f>
        <v>21</v>
      </c>
      <c r="F102">
        <f>SUM(F2:F101)</f>
        <v>20</v>
      </c>
      <c r="G102">
        <f>SUM(G2:G101)</f>
        <v>28</v>
      </c>
    </row>
    <row r="104" spans="1:8" x14ac:dyDescent="0.3">
      <c r="H104" t="s">
        <v>28</v>
      </c>
    </row>
    <row r="105" spans="1:8" x14ac:dyDescent="0.3">
      <c r="B105" t="s">
        <v>13</v>
      </c>
      <c r="C105" t="s">
        <v>14</v>
      </c>
      <c r="E105" t="s">
        <v>15</v>
      </c>
      <c r="F105" t="s">
        <v>26</v>
      </c>
      <c r="G105">
        <f>C110/C114</f>
        <v>0.59615384615384615</v>
      </c>
      <c r="H105">
        <f>_xlfn.NORM.S.INV(G105)</f>
        <v>0.24340417781063114</v>
      </c>
    </row>
    <row r="106" spans="1:8" x14ac:dyDescent="0.3">
      <c r="A106" t="s">
        <v>16</v>
      </c>
      <c r="B106" t="s">
        <v>3</v>
      </c>
      <c r="C106" t="s">
        <v>4</v>
      </c>
      <c r="E106" t="s">
        <v>17</v>
      </c>
      <c r="F106" t="s">
        <v>27</v>
      </c>
      <c r="G106">
        <f>C112/C115</f>
        <v>0.41666666666666669</v>
      </c>
      <c r="H106">
        <f>_xlfn.NORM.S.INV(G106)</f>
        <v>-0.21042839424792467</v>
      </c>
    </row>
    <row r="107" spans="1:8" x14ac:dyDescent="0.3">
      <c r="A107" t="s">
        <v>18</v>
      </c>
      <c r="B107" t="s">
        <v>5</v>
      </c>
      <c r="C107" t="s">
        <v>21</v>
      </c>
      <c r="E107" t="s">
        <v>19</v>
      </c>
      <c r="F107" t="s">
        <v>29</v>
      </c>
      <c r="G107">
        <f>H105-H106</f>
        <v>0.45383257205855582</v>
      </c>
    </row>
    <row r="108" spans="1:8" x14ac:dyDescent="0.3">
      <c r="E108" t="s">
        <v>20</v>
      </c>
      <c r="F108" t="s">
        <v>30</v>
      </c>
      <c r="G108">
        <f>(-H105)+(H106/2)</f>
        <v>-0.34861837493459347</v>
      </c>
    </row>
    <row r="110" spans="1:8" x14ac:dyDescent="0.3">
      <c r="A110" t="s">
        <v>9</v>
      </c>
      <c r="C110">
        <v>31</v>
      </c>
    </row>
    <row r="111" spans="1:8" x14ac:dyDescent="0.3">
      <c r="A111" t="s">
        <v>10</v>
      </c>
      <c r="C111">
        <v>21</v>
      </c>
    </row>
    <row r="112" spans="1:8" x14ac:dyDescent="0.3">
      <c r="A112" t="s">
        <v>11</v>
      </c>
      <c r="C112">
        <v>20</v>
      </c>
    </row>
    <row r="113" spans="1:3" x14ac:dyDescent="0.3">
      <c r="A113" t="s">
        <v>12</v>
      </c>
      <c r="C113">
        <v>28</v>
      </c>
    </row>
    <row r="114" spans="1:3" x14ac:dyDescent="0.3">
      <c r="A114" t="s">
        <v>22</v>
      </c>
      <c r="B114" t="s">
        <v>24</v>
      </c>
      <c r="C114">
        <f>SUM(D2:E101)</f>
        <v>52</v>
      </c>
    </row>
    <row r="115" spans="1:3" x14ac:dyDescent="0.3">
      <c r="A115" t="s">
        <v>23</v>
      </c>
      <c r="B115" t="s">
        <v>25</v>
      </c>
      <c r="C115">
        <f>SUM(F2:G101)</f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50_string method_2025-09-04_10h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2025-09-11T11:18:59Z</dcterms:created>
  <dcterms:modified xsi:type="dcterms:W3CDTF">2025-09-11T15:13:17Z</dcterms:modified>
</cp:coreProperties>
</file>