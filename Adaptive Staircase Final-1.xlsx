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Desktop/psy 310/adaptive staricase/"/>
    </mc:Choice>
  </mc:AlternateContent>
  <xr:revisionPtr revIDLastSave="247" documentId="8_{4BEF6740-6730-4B19-AB26-0C40F88C1BB5}" xr6:coauthVersionLast="47" xr6:coauthVersionMax="47" xr10:uidLastSave="{D9F43EA3-EA4C-412C-9EA9-775986305472}"/>
  <bookViews>
    <workbookView xWindow="-108" yWindow="-108" windowWidth="23256" windowHeight="12456" xr2:uid="{F86801E1-CCD9-4378-B7F3-BD6448C1038C}"/>
  </bookViews>
  <sheets>
    <sheet name="Adaptive Staircase Final-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  <c r="C5" i="2"/>
  <c r="N104" i="1"/>
</calcChain>
</file>

<file path=xl/sharedStrings.xml><?xml version="1.0" encoding="utf-8"?>
<sst xmlns="http://schemas.openxmlformats.org/spreadsheetml/2006/main" count="529" uniqueCount="34">
  <si>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</si>
  <si>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</si>
  <si>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</si>
  <si>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</si>
  <si>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</si>
  <si>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</si>
  <si>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</si>
  <si>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</si>
  <si>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</si>
  <si>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</si>
  <si>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trial.stopped</t>
  </si>
  <si>
    <t>corrAns</t>
  </si>
  <si>
    <t>tilt</t>
  </si>
  <si>
    <t>key_resp.corr</t>
  </si>
  <si>
    <t>stair.response</t>
  </si>
  <si>
    <t>key_resp.rt</t>
  </si>
  <si>
    <t>grating.stopped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</si>
  <si>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</si>
  <si>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</si>
  <si>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</si>
  <si>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</si>
  <si>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</si>
  <si>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</si>
  <si>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</si>
  <si>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</si>
  <si>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right</t>
  </si>
  <si>
    <t>2025-09-02_09h37.10.951</t>
  </si>
  <si>
    <t>adaptive_staircase</t>
  </si>
  <si>
    <t>2025.1.1</t>
  </si>
  <si>
    <t>2025-09-02 09h37.12.807714 +0530</t>
  </si>
  <si>
    <t>left</t>
  </si>
  <si>
    <t>Tilt Reversals</t>
  </si>
  <si>
    <t xml:space="preserve">Accuracy Percentage </t>
  </si>
  <si>
    <t>Differnce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</si>
</sst>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Tilt of Grating Across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79065544843096E-2"/>
          <c:y val="0.14286052432011026"/>
          <c:w val="0.91708560592563249"/>
          <c:h val="0.77736111111111106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77000"/>
                </a:schemeClr>
              </a:solidFill>
              <a:ln w="9525">
                <a:solidFill>
                  <a:schemeClr val="accent4">
                    <a:tint val="77000"/>
                  </a:schemeClr>
                </a:solidFill>
              </a:ln>
              <a:effectLst/>
            </c:spPr>
          </c:marker>
          <c:val>
            <c:numRef>
              <c:f>'Adaptive Staircase Final-1'!$M$2:$M$101</c:f>
              <c:numCache>
                <c:formatCode>General</c:formatCode>
                <c:ptCount val="100"/>
                <c:pt idx="0">
                  <c:v>10</c:v>
                </c:pt>
                <c:pt idx="1">
                  <c:v>-12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-14</c:v>
                </c:pt>
                <c:pt idx="8">
                  <c:v>-15</c:v>
                </c:pt>
                <c:pt idx="9">
                  <c:v>-15</c:v>
                </c:pt>
                <c:pt idx="10">
                  <c:v>-15</c:v>
                </c:pt>
                <c:pt idx="11">
                  <c:v>14.5</c:v>
                </c:pt>
                <c:pt idx="12">
                  <c:v>-14.5</c:v>
                </c:pt>
                <c:pt idx="13">
                  <c:v>-14.5</c:v>
                </c:pt>
                <c:pt idx="14">
                  <c:v>15</c:v>
                </c:pt>
                <c:pt idx="15">
                  <c:v>-15.5</c:v>
                </c:pt>
                <c:pt idx="16">
                  <c:v>15.5</c:v>
                </c:pt>
                <c:pt idx="17">
                  <c:v>15.5</c:v>
                </c:pt>
                <c:pt idx="18">
                  <c:v>16</c:v>
                </c:pt>
                <c:pt idx="19">
                  <c:v>-16.5</c:v>
                </c:pt>
                <c:pt idx="20">
                  <c:v>-17</c:v>
                </c:pt>
                <c:pt idx="21">
                  <c:v>-17</c:v>
                </c:pt>
                <c:pt idx="22">
                  <c:v>-17.5</c:v>
                </c:pt>
                <c:pt idx="23">
                  <c:v>17.5</c:v>
                </c:pt>
                <c:pt idx="24">
                  <c:v>18</c:v>
                </c:pt>
                <c:pt idx="25">
                  <c:v>18</c:v>
                </c:pt>
                <c:pt idx="26">
                  <c:v>18.5</c:v>
                </c:pt>
                <c:pt idx="27">
                  <c:v>-18.5</c:v>
                </c:pt>
                <c:pt idx="28">
                  <c:v>18.5</c:v>
                </c:pt>
                <c:pt idx="29">
                  <c:v>18</c:v>
                </c:pt>
                <c:pt idx="30">
                  <c:v>-18.5</c:v>
                </c:pt>
                <c:pt idx="31">
                  <c:v>19</c:v>
                </c:pt>
                <c:pt idx="32">
                  <c:v>19</c:v>
                </c:pt>
                <c:pt idx="33">
                  <c:v>19.5</c:v>
                </c:pt>
                <c:pt idx="34">
                  <c:v>-19.5</c:v>
                </c:pt>
                <c:pt idx="35">
                  <c:v>19.5</c:v>
                </c:pt>
                <c:pt idx="36">
                  <c:v>-20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-20</c:v>
                </c:pt>
                <c:pt idx="42">
                  <c:v>20</c:v>
                </c:pt>
                <c:pt idx="43">
                  <c:v>-19.5</c:v>
                </c:pt>
                <c:pt idx="44">
                  <c:v>-19.5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-20</c:v>
                </c:pt>
                <c:pt idx="52">
                  <c:v>20</c:v>
                </c:pt>
                <c:pt idx="53">
                  <c:v>-20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-20</c:v>
                </c:pt>
                <c:pt idx="58">
                  <c:v>-20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-20</c:v>
                </c:pt>
                <c:pt idx="65">
                  <c:v>20</c:v>
                </c:pt>
                <c:pt idx="66">
                  <c:v>-20</c:v>
                </c:pt>
                <c:pt idx="67">
                  <c:v>-20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-20</c:v>
                </c:pt>
                <c:pt idx="72">
                  <c:v>-20</c:v>
                </c:pt>
                <c:pt idx="73">
                  <c:v>20</c:v>
                </c:pt>
                <c:pt idx="74">
                  <c:v>20</c:v>
                </c:pt>
                <c:pt idx="75">
                  <c:v>-20</c:v>
                </c:pt>
                <c:pt idx="76">
                  <c:v>-20</c:v>
                </c:pt>
                <c:pt idx="77">
                  <c:v>-20</c:v>
                </c:pt>
                <c:pt idx="78">
                  <c:v>-20</c:v>
                </c:pt>
                <c:pt idx="79">
                  <c:v>-20</c:v>
                </c:pt>
                <c:pt idx="80">
                  <c:v>20</c:v>
                </c:pt>
                <c:pt idx="81">
                  <c:v>20</c:v>
                </c:pt>
                <c:pt idx="82">
                  <c:v>19.5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-20</c:v>
                </c:pt>
                <c:pt idx="88">
                  <c:v>-20</c:v>
                </c:pt>
                <c:pt idx="89">
                  <c:v>-20</c:v>
                </c:pt>
                <c:pt idx="90">
                  <c:v>-20</c:v>
                </c:pt>
                <c:pt idx="91">
                  <c:v>20</c:v>
                </c:pt>
                <c:pt idx="92">
                  <c:v>-20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48-4494-AA71-0945271479C2}"/>
            </c:ext>
          </c:extLst>
        </c:ser>
        <c:ser>
          <c:idx val="0"/>
          <c:order val="1"/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76000"/>
                </a:schemeClr>
              </a:solidFill>
              <a:ln w="9525">
                <a:solidFill>
                  <a:schemeClr val="accent4">
                    <a:shade val="76000"/>
                  </a:schemeClr>
                </a:solidFill>
              </a:ln>
              <a:effectLst/>
            </c:spPr>
          </c:marker>
          <c:val>
            <c:numRef>
              <c:f>'Adaptive Staircase Final-1'!$M$2:$M$101</c:f>
              <c:numCache>
                <c:formatCode>General</c:formatCode>
                <c:ptCount val="100"/>
                <c:pt idx="0">
                  <c:v>10</c:v>
                </c:pt>
                <c:pt idx="1">
                  <c:v>-12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-14</c:v>
                </c:pt>
                <c:pt idx="8">
                  <c:v>-15</c:v>
                </c:pt>
                <c:pt idx="9">
                  <c:v>-15</c:v>
                </c:pt>
                <c:pt idx="10">
                  <c:v>-15</c:v>
                </c:pt>
                <c:pt idx="11">
                  <c:v>14.5</c:v>
                </c:pt>
                <c:pt idx="12">
                  <c:v>-14.5</c:v>
                </c:pt>
                <c:pt idx="13">
                  <c:v>-14.5</c:v>
                </c:pt>
                <c:pt idx="14">
                  <c:v>15</c:v>
                </c:pt>
                <c:pt idx="15">
                  <c:v>-15.5</c:v>
                </c:pt>
                <c:pt idx="16">
                  <c:v>15.5</c:v>
                </c:pt>
                <c:pt idx="17">
                  <c:v>15.5</c:v>
                </c:pt>
                <c:pt idx="18">
                  <c:v>16</c:v>
                </c:pt>
                <c:pt idx="19">
                  <c:v>-16.5</c:v>
                </c:pt>
                <c:pt idx="20">
                  <c:v>-17</c:v>
                </c:pt>
                <c:pt idx="21">
                  <c:v>-17</c:v>
                </c:pt>
                <c:pt idx="22">
                  <c:v>-17.5</c:v>
                </c:pt>
                <c:pt idx="23">
                  <c:v>17.5</c:v>
                </c:pt>
                <c:pt idx="24">
                  <c:v>18</c:v>
                </c:pt>
                <c:pt idx="25">
                  <c:v>18</c:v>
                </c:pt>
                <c:pt idx="26">
                  <c:v>18.5</c:v>
                </c:pt>
                <c:pt idx="27">
                  <c:v>-18.5</c:v>
                </c:pt>
                <c:pt idx="28">
                  <c:v>18.5</c:v>
                </c:pt>
                <c:pt idx="29">
                  <c:v>18</c:v>
                </c:pt>
                <c:pt idx="30">
                  <c:v>-18.5</c:v>
                </c:pt>
                <c:pt idx="31">
                  <c:v>19</c:v>
                </c:pt>
                <c:pt idx="32">
                  <c:v>19</c:v>
                </c:pt>
                <c:pt idx="33">
                  <c:v>19.5</c:v>
                </c:pt>
                <c:pt idx="34">
                  <c:v>-19.5</c:v>
                </c:pt>
                <c:pt idx="35">
                  <c:v>19.5</c:v>
                </c:pt>
                <c:pt idx="36">
                  <c:v>-20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-20</c:v>
                </c:pt>
                <c:pt idx="42">
                  <c:v>20</c:v>
                </c:pt>
                <c:pt idx="43">
                  <c:v>-19.5</c:v>
                </c:pt>
                <c:pt idx="44">
                  <c:v>-19.5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-20</c:v>
                </c:pt>
                <c:pt idx="52">
                  <c:v>20</c:v>
                </c:pt>
                <c:pt idx="53">
                  <c:v>-20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-20</c:v>
                </c:pt>
                <c:pt idx="58">
                  <c:v>-20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-20</c:v>
                </c:pt>
                <c:pt idx="65">
                  <c:v>20</c:v>
                </c:pt>
                <c:pt idx="66">
                  <c:v>-20</c:v>
                </c:pt>
                <c:pt idx="67">
                  <c:v>-20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-20</c:v>
                </c:pt>
                <c:pt idx="72">
                  <c:v>-20</c:v>
                </c:pt>
                <c:pt idx="73">
                  <c:v>20</c:v>
                </c:pt>
                <c:pt idx="74">
                  <c:v>20</c:v>
                </c:pt>
                <c:pt idx="75">
                  <c:v>-20</c:v>
                </c:pt>
                <c:pt idx="76">
                  <c:v>-20</c:v>
                </c:pt>
                <c:pt idx="77">
                  <c:v>-20</c:v>
                </c:pt>
                <c:pt idx="78">
                  <c:v>-20</c:v>
                </c:pt>
                <c:pt idx="79">
                  <c:v>-20</c:v>
                </c:pt>
                <c:pt idx="80">
                  <c:v>20</c:v>
                </c:pt>
                <c:pt idx="81">
                  <c:v>20</c:v>
                </c:pt>
                <c:pt idx="82">
                  <c:v>19.5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-20</c:v>
                </c:pt>
                <c:pt idx="88">
                  <c:v>-20</c:v>
                </c:pt>
                <c:pt idx="89">
                  <c:v>-20</c:v>
                </c:pt>
                <c:pt idx="90">
                  <c:v>-20</c:v>
                </c:pt>
                <c:pt idx="91">
                  <c:v>20</c:v>
                </c:pt>
                <c:pt idx="92">
                  <c:v>-20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48-4494-AA71-0945271479C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906240"/>
        <c:axId val="943905760"/>
      </c:lineChart>
      <c:catAx>
        <c:axId val="943906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05760"/>
        <c:crosses val="autoZero"/>
        <c:auto val="1"/>
        <c:lblAlgn val="ctr"/>
        <c:lblOffset val="100"/>
        <c:noMultiLvlLbl val="0"/>
      </c:catAx>
      <c:valAx>
        <c:axId val="94390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</a:t>
                </a:r>
              </a:p>
              <a:p>
                <a:pPr>
                  <a:defRPr/>
                </a:pPr>
                <a:r>
                  <a:rPr lang="en-IN"/>
                  <a:t>- = Left Tilt, + = Right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0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Response</a:t>
            </a:r>
            <a:r>
              <a:rPr lang="en-IN" b="1" baseline="0"/>
              <a:t> Accuracy over Trials</a:t>
            </a:r>
            <a:endParaRPr lang="en-IN" b="1"/>
          </a:p>
        </c:rich>
      </c:tx>
      <c:layout>
        <c:manualLayout>
          <c:xMode val="edge"/>
          <c:yMode val="edge"/>
          <c:x val="0.3229512248468941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'Adaptive Staircase Final-1'!$N$2:$N$101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1E-4CF8-9A64-680927337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590080"/>
        <c:axId val="1377576160"/>
      </c:lineChart>
      <c:catAx>
        <c:axId val="1377590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Number</a:t>
                </a:r>
                <a:r>
                  <a:rPr lang="en-IN" b="1" baseline="0"/>
                  <a:t> of Trial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45636987684231767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576160"/>
        <c:crosses val="autoZero"/>
        <c:auto val="1"/>
        <c:lblAlgn val="ctr"/>
        <c:lblOffset val="100"/>
        <c:noMultiLvlLbl val="0"/>
      </c:catAx>
      <c:valAx>
        <c:axId val="137757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Response  Accuracy ,</a:t>
                </a:r>
              </a:p>
              <a:p>
                <a:pPr>
                  <a:defRPr b="1"/>
                </a:pPr>
                <a:r>
                  <a:rPr lang="en-IN" b="1"/>
                  <a:t>Correct-1, Incorrect-0</a:t>
                </a:r>
              </a:p>
            </c:rich>
          </c:tx>
          <c:layout>
            <c:manualLayout>
              <c:xMode val="edge"/>
              <c:yMode val="edge"/>
              <c:x val="1.3082155939298797E-2"/>
              <c:y val="0.269911417322834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5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150522</xdr:colOff>
      <xdr:row>123</xdr:row>
      <xdr:rowOff>78728</xdr:rowOff>
    </xdr:from>
    <xdr:to>
      <xdr:col>13</xdr:col>
      <xdr:colOff>1051407</xdr:colOff>
      <xdr:row>141</xdr:row>
      <xdr:rowOff>130530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885B35-0127-C3F4-7C6F-F02627461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533399</xdr:colOff>
      <xdr:row>105</xdr:row>
      <xdr:rowOff>133350</xdr:rowOff>
    </xdr:from>
    <xdr:to>
      <xdr:col>12</xdr:col>
      <xdr:colOff>596346</xdr:colOff>
      <xdr:row>122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BE8433-9477-617E-B866-C086D3BC7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4893-4D93-4B88-A204-BFBB66B58399}">
  <dimension ref="A1:Y109"/>
  <sheetViews>
    <sheetView tabSelected="1" topLeftCell="A116" zoomScale="65" workbookViewId="0">
      <selection activeCell="N145" sqref="N145"/>
    </sheetView>
  </sheetViews>
  <sheetFormatPr defaultRowHeight="14.4" x14ac:dyDescent="0.3"/>
  <cols>
    <col min="13" max="13" width="17.5546875" customWidth="1"/>
    <col min="14" max="14" width="17.8867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0</v>
      </c>
      <c r="B2">
        <v>2</v>
      </c>
      <c r="C2">
        <v>10</v>
      </c>
      <c r="D2">
        <v>3.4471400082111303E-2</v>
      </c>
      <c r="F2">
        <v>1.77044000010937E-2</v>
      </c>
      <c r="G2">
        <v>3.4471400082111303E-2</v>
      </c>
      <c r="H2">
        <v>0.502775700064376</v>
      </c>
      <c r="I2">
        <v>0.502775700064376</v>
      </c>
      <c r="J2">
        <v>0.53574530000332699</v>
      </c>
      <c r="K2">
        <v>0.872146200039424</v>
      </c>
      <c r="L2" t="s">
        <v>25</v>
      </c>
      <c r="M2">
        <v>10</v>
      </c>
      <c r="N2" s="1">
        <v>0</v>
      </c>
      <c r="O2">
        <v>0</v>
      </c>
      <c r="P2">
        <v>0.25717110000550703</v>
      </c>
      <c r="R2">
        <v>44733</v>
      </c>
      <c r="S2">
        <v>1</v>
      </c>
      <c r="T2" t="s">
        <v>26</v>
      </c>
      <c r="U2" t="s">
        <v>27</v>
      </c>
      <c r="W2" t="s">
        <v>28</v>
      </c>
      <c r="X2">
        <v>60.584066743781101</v>
      </c>
      <c r="Y2" t="s">
        <v>29</v>
      </c>
    </row>
    <row r="3" spans="1:25" x14ac:dyDescent="0.3">
      <c r="A3">
        <v>1</v>
      </c>
      <c r="B3">
        <v>1</v>
      </c>
      <c r="C3">
        <v>12</v>
      </c>
      <c r="D3">
        <v>0.88278920005541295</v>
      </c>
      <c r="F3">
        <v>0.87232820002827705</v>
      </c>
      <c r="G3">
        <v>0.88278920005541295</v>
      </c>
      <c r="H3">
        <v>1.3847967000910999</v>
      </c>
      <c r="I3">
        <v>1.3847967000910999</v>
      </c>
      <c r="J3">
        <v>1.3847967000910999</v>
      </c>
      <c r="K3">
        <v>1.76814840000588</v>
      </c>
      <c r="L3" t="s">
        <v>30</v>
      </c>
      <c r="M3">
        <v>-12</v>
      </c>
      <c r="N3" s="1">
        <v>1</v>
      </c>
      <c r="O3">
        <v>1</v>
      </c>
      <c r="P3">
        <v>0.37395929999183802</v>
      </c>
      <c r="Q3">
        <v>1.6851006000069899</v>
      </c>
      <c r="R3">
        <v>44733</v>
      </c>
      <c r="S3">
        <v>1</v>
      </c>
      <c r="T3" t="s">
        <v>26</v>
      </c>
      <c r="U3" t="s">
        <v>27</v>
      </c>
      <c r="W3" t="s">
        <v>28</v>
      </c>
      <c r="X3">
        <v>60.584066743781101</v>
      </c>
      <c r="Y3" t="s">
        <v>29</v>
      </c>
    </row>
    <row r="4" spans="1:25" x14ac:dyDescent="0.3">
      <c r="A4">
        <v>2</v>
      </c>
      <c r="B4">
        <v>1</v>
      </c>
      <c r="C4">
        <v>11</v>
      </c>
      <c r="D4">
        <v>1.7839607000350901</v>
      </c>
      <c r="F4">
        <v>1.7683250000700299</v>
      </c>
      <c r="G4">
        <v>1.7839607000350901</v>
      </c>
      <c r="H4">
        <v>2.2694817000301502</v>
      </c>
      <c r="I4">
        <v>2.2694817000301502</v>
      </c>
      <c r="J4">
        <v>2.2854608000488899</v>
      </c>
      <c r="K4">
        <v>2.88630210002884</v>
      </c>
      <c r="L4" t="s">
        <v>25</v>
      </c>
      <c r="M4">
        <v>11</v>
      </c>
      <c r="N4" s="1">
        <v>0</v>
      </c>
      <c r="O4">
        <v>0</v>
      </c>
      <c r="P4">
        <v>0.60666190006304499</v>
      </c>
      <c r="Q4">
        <v>2.5689314000774099</v>
      </c>
      <c r="R4">
        <v>44733</v>
      </c>
      <c r="S4">
        <v>1</v>
      </c>
      <c r="T4" t="s">
        <v>26</v>
      </c>
      <c r="U4" t="s">
        <v>27</v>
      </c>
      <c r="W4" t="s">
        <v>28</v>
      </c>
      <c r="X4">
        <v>60.584066743781101</v>
      </c>
      <c r="Y4" t="s">
        <v>29</v>
      </c>
    </row>
    <row r="5" spans="1:25" x14ac:dyDescent="0.3">
      <c r="A5">
        <v>3</v>
      </c>
      <c r="B5">
        <v>1</v>
      </c>
      <c r="C5">
        <v>12</v>
      </c>
      <c r="D5">
        <v>2.9025450000772199</v>
      </c>
      <c r="F5">
        <v>2.8866627000970699</v>
      </c>
      <c r="G5">
        <v>2.9025450000772199</v>
      </c>
      <c r="H5">
        <v>3.3861379000591101</v>
      </c>
      <c r="I5">
        <v>3.3861379000591101</v>
      </c>
      <c r="J5">
        <v>3.4024404000956499</v>
      </c>
      <c r="K5">
        <v>3.53651540004648</v>
      </c>
      <c r="L5" t="s">
        <v>25</v>
      </c>
      <c r="M5">
        <v>12</v>
      </c>
      <c r="N5" s="1">
        <v>1</v>
      </c>
      <c r="O5">
        <v>1</v>
      </c>
      <c r="P5">
        <v>0.14071140007581501</v>
      </c>
      <c r="R5">
        <v>44733</v>
      </c>
      <c r="S5">
        <v>1</v>
      </c>
      <c r="T5" t="s">
        <v>26</v>
      </c>
      <c r="U5" t="s">
        <v>27</v>
      </c>
      <c r="W5" t="s">
        <v>28</v>
      </c>
      <c r="X5">
        <v>60.584066743781101</v>
      </c>
      <c r="Y5" t="s">
        <v>29</v>
      </c>
    </row>
    <row r="6" spans="1:25" x14ac:dyDescent="0.3">
      <c r="A6">
        <v>4</v>
      </c>
      <c r="B6">
        <v>1</v>
      </c>
      <c r="C6">
        <v>12</v>
      </c>
      <c r="D6">
        <v>3.5520831000758299</v>
      </c>
      <c r="F6">
        <v>3.5369245000183498</v>
      </c>
      <c r="G6">
        <v>3.5520831000758299</v>
      </c>
      <c r="H6">
        <v>4.0361225000815404</v>
      </c>
      <c r="I6">
        <v>4.0361225000815404</v>
      </c>
      <c r="J6">
        <v>4.05255790008232</v>
      </c>
      <c r="K6">
        <v>4.3527532001025904</v>
      </c>
      <c r="L6" t="s">
        <v>25</v>
      </c>
      <c r="M6">
        <v>12</v>
      </c>
      <c r="N6" s="1">
        <v>0</v>
      </c>
      <c r="O6">
        <v>0</v>
      </c>
      <c r="P6">
        <v>0.30856359994504601</v>
      </c>
      <c r="Q6">
        <v>4.3356635000091002</v>
      </c>
      <c r="R6">
        <v>44733</v>
      </c>
      <c r="S6">
        <v>1</v>
      </c>
      <c r="T6" t="s">
        <v>26</v>
      </c>
      <c r="U6" t="s">
        <v>27</v>
      </c>
      <c r="W6" t="s">
        <v>28</v>
      </c>
      <c r="X6">
        <v>60.584066743781101</v>
      </c>
      <c r="Y6" t="s">
        <v>29</v>
      </c>
    </row>
    <row r="7" spans="1:25" x14ac:dyDescent="0.3">
      <c r="A7">
        <v>5</v>
      </c>
      <c r="B7">
        <v>1</v>
      </c>
      <c r="C7">
        <v>13</v>
      </c>
      <c r="D7">
        <v>4.3691353000467599</v>
      </c>
      <c r="F7">
        <v>4.3530588001012802</v>
      </c>
      <c r="G7">
        <v>4.3691353000467599</v>
      </c>
      <c r="H7">
        <v>4.8522139000706304</v>
      </c>
      <c r="I7">
        <v>4.8522139000706304</v>
      </c>
      <c r="J7">
        <v>4.8689814000390399</v>
      </c>
      <c r="K7">
        <v>4.9197827000170902</v>
      </c>
      <c r="L7" t="s">
        <v>25</v>
      </c>
      <c r="M7">
        <v>13</v>
      </c>
      <c r="N7" s="1">
        <v>1</v>
      </c>
      <c r="O7">
        <v>1</v>
      </c>
      <c r="P7">
        <v>5.4229600005783099E-2</v>
      </c>
      <c r="R7">
        <v>44733</v>
      </c>
      <c r="S7">
        <v>1</v>
      </c>
      <c r="T7" t="s">
        <v>26</v>
      </c>
      <c r="U7" t="s">
        <v>27</v>
      </c>
      <c r="W7" t="s">
        <v>28</v>
      </c>
      <c r="X7">
        <v>60.584066743781101</v>
      </c>
      <c r="Y7" t="s">
        <v>29</v>
      </c>
    </row>
    <row r="8" spans="1:25" x14ac:dyDescent="0.3">
      <c r="A8">
        <v>6</v>
      </c>
      <c r="B8">
        <v>1</v>
      </c>
      <c r="C8">
        <v>13</v>
      </c>
      <c r="D8">
        <v>4.9362032000208202</v>
      </c>
      <c r="F8">
        <v>4.9200868000043503</v>
      </c>
      <c r="G8">
        <v>4.9362032000208202</v>
      </c>
      <c r="H8">
        <v>5.4189103000098804</v>
      </c>
      <c r="I8">
        <v>5.4189103000098804</v>
      </c>
      <c r="J8">
        <v>5.43658220011275</v>
      </c>
      <c r="K8">
        <v>5.4531218000920401</v>
      </c>
      <c r="L8" t="s">
        <v>25</v>
      </c>
      <c r="M8">
        <v>13</v>
      </c>
      <c r="N8">
        <v>0</v>
      </c>
      <c r="O8">
        <v>0</v>
      </c>
      <c r="P8">
        <v>2.8646999970078399E-2</v>
      </c>
      <c r="R8">
        <v>44733</v>
      </c>
      <c r="S8">
        <v>1</v>
      </c>
      <c r="T8" t="s">
        <v>26</v>
      </c>
      <c r="U8" t="s">
        <v>27</v>
      </c>
      <c r="W8" t="s">
        <v>28</v>
      </c>
      <c r="X8">
        <v>60.584066743781101</v>
      </c>
      <c r="Y8" t="s">
        <v>29</v>
      </c>
    </row>
    <row r="9" spans="1:25" x14ac:dyDescent="0.3">
      <c r="A9">
        <v>7</v>
      </c>
      <c r="B9">
        <v>1</v>
      </c>
      <c r="C9">
        <v>14</v>
      </c>
      <c r="D9">
        <v>5.4688850000966296</v>
      </c>
      <c r="F9">
        <v>5.4533891000319201</v>
      </c>
      <c r="G9">
        <v>5.4688850000966296</v>
      </c>
      <c r="H9">
        <v>5.9694524001097298</v>
      </c>
      <c r="I9">
        <v>5.9694524001097298</v>
      </c>
      <c r="J9">
        <v>5.9694524001097298</v>
      </c>
      <c r="K9">
        <v>6.0037686000578097</v>
      </c>
      <c r="L9" t="s">
        <v>30</v>
      </c>
      <c r="M9">
        <v>-14</v>
      </c>
      <c r="N9" s="1">
        <v>0</v>
      </c>
      <c r="O9">
        <v>0</v>
      </c>
      <c r="P9">
        <v>2.8747000033035802E-2</v>
      </c>
      <c r="R9">
        <v>44733</v>
      </c>
      <c r="S9">
        <v>1</v>
      </c>
      <c r="T9" t="s">
        <v>26</v>
      </c>
      <c r="U9" t="s">
        <v>27</v>
      </c>
      <c r="W9" t="s">
        <v>28</v>
      </c>
      <c r="X9">
        <v>60.584066743781101</v>
      </c>
      <c r="Y9" t="s">
        <v>29</v>
      </c>
    </row>
    <row r="10" spans="1:25" x14ac:dyDescent="0.3">
      <c r="A10">
        <v>8</v>
      </c>
      <c r="B10">
        <v>1</v>
      </c>
      <c r="C10">
        <v>15</v>
      </c>
      <c r="D10">
        <v>6.0189789000432903</v>
      </c>
      <c r="F10">
        <v>6.00411390000954</v>
      </c>
      <c r="G10">
        <v>6.0189789000432903</v>
      </c>
      <c r="H10">
        <v>6.5190731000620801</v>
      </c>
      <c r="I10">
        <v>6.5190731000620801</v>
      </c>
      <c r="J10">
        <v>6.5190731000620801</v>
      </c>
      <c r="K10">
        <v>6.6035044000018299</v>
      </c>
      <c r="L10" t="s">
        <v>30</v>
      </c>
      <c r="M10">
        <v>-15</v>
      </c>
      <c r="N10" s="1">
        <v>1</v>
      </c>
      <c r="O10">
        <v>1</v>
      </c>
      <c r="P10">
        <v>7.1306199999526101E-2</v>
      </c>
      <c r="R10">
        <v>44733</v>
      </c>
      <c r="S10">
        <v>1</v>
      </c>
      <c r="T10" t="s">
        <v>26</v>
      </c>
      <c r="U10" t="s">
        <v>27</v>
      </c>
      <c r="W10" t="s">
        <v>28</v>
      </c>
      <c r="X10">
        <v>60.584066743781101</v>
      </c>
      <c r="Y10" t="s">
        <v>29</v>
      </c>
    </row>
    <row r="11" spans="1:25" x14ac:dyDescent="0.3">
      <c r="A11">
        <v>9</v>
      </c>
      <c r="B11">
        <v>1</v>
      </c>
      <c r="C11">
        <v>15</v>
      </c>
      <c r="D11">
        <v>6.6189923000056297</v>
      </c>
      <c r="F11">
        <v>6.60386650008149</v>
      </c>
      <c r="G11">
        <v>6.6189923000056297</v>
      </c>
      <c r="H11">
        <v>7.1193710000952697</v>
      </c>
      <c r="I11">
        <v>7.1193710000952697</v>
      </c>
      <c r="J11">
        <v>7.1193710000952697</v>
      </c>
      <c r="K11">
        <v>7.6704620000673396</v>
      </c>
      <c r="L11" t="s">
        <v>30</v>
      </c>
      <c r="M11">
        <v>-15</v>
      </c>
      <c r="N11">
        <v>1</v>
      </c>
      <c r="O11">
        <v>1</v>
      </c>
      <c r="P11">
        <v>0.54837410000618503</v>
      </c>
      <c r="Q11">
        <v>7.4188954000128398</v>
      </c>
      <c r="R11">
        <v>44733</v>
      </c>
      <c r="S11">
        <v>1</v>
      </c>
      <c r="T11" t="s">
        <v>26</v>
      </c>
      <c r="U11" t="s">
        <v>27</v>
      </c>
      <c r="W11" t="s">
        <v>28</v>
      </c>
      <c r="X11">
        <v>60.584066743781101</v>
      </c>
      <c r="Y11" t="s">
        <v>29</v>
      </c>
    </row>
    <row r="12" spans="1:25" x14ac:dyDescent="0.3">
      <c r="A12">
        <v>10</v>
      </c>
      <c r="B12">
        <v>0.5</v>
      </c>
      <c r="C12">
        <v>15</v>
      </c>
      <c r="D12">
        <v>7.6864319000160304</v>
      </c>
      <c r="F12">
        <v>7.6707835000706801</v>
      </c>
      <c r="G12">
        <v>7.6864319000160304</v>
      </c>
      <c r="H12">
        <v>8.1861568000167608</v>
      </c>
      <c r="I12">
        <v>8.1861568000167608</v>
      </c>
      <c r="J12">
        <v>8.1861568000167608</v>
      </c>
      <c r="K12">
        <v>8.5196578000904992</v>
      </c>
      <c r="L12" t="s">
        <v>30</v>
      </c>
      <c r="M12">
        <v>-15</v>
      </c>
      <c r="N12">
        <v>1</v>
      </c>
      <c r="O12">
        <v>1</v>
      </c>
      <c r="P12">
        <v>0.32857210002839499</v>
      </c>
      <c r="Q12">
        <v>8.4856444000033608</v>
      </c>
      <c r="R12">
        <v>44733</v>
      </c>
      <c r="S12">
        <v>1</v>
      </c>
      <c r="T12" t="s">
        <v>26</v>
      </c>
      <c r="U12" t="s">
        <v>27</v>
      </c>
      <c r="W12" t="s">
        <v>28</v>
      </c>
      <c r="X12">
        <v>60.584066743781101</v>
      </c>
      <c r="Y12" t="s">
        <v>29</v>
      </c>
    </row>
    <row r="13" spans="1:25" x14ac:dyDescent="0.3">
      <c r="A13">
        <v>11</v>
      </c>
      <c r="B13">
        <v>0.5</v>
      </c>
      <c r="C13">
        <v>14.5</v>
      </c>
      <c r="D13">
        <v>8.5352079001022503</v>
      </c>
      <c r="F13">
        <v>8.5200105000985698</v>
      </c>
      <c r="G13">
        <v>8.5352079001022503</v>
      </c>
      <c r="H13">
        <v>9.0188612000783905</v>
      </c>
      <c r="I13">
        <v>9.0188612000783905</v>
      </c>
      <c r="J13">
        <v>9.0351357000181398</v>
      </c>
      <c r="K13">
        <v>9.4035673000616899</v>
      </c>
      <c r="L13" t="s">
        <v>25</v>
      </c>
      <c r="M13">
        <v>14.5</v>
      </c>
      <c r="N13">
        <v>1</v>
      </c>
      <c r="O13">
        <v>1</v>
      </c>
      <c r="P13">
        <v>0.38212670001666899</v>
      </c>
      <c r="Q13">
        <v>9.3196106000104901</v>
      </c>
      <c r="R13">
        <v>44733</v>
      </c>
      <c r="S13">
        <v>1</v>
      </c>
      <c r="T13" t="s">
        <v>26</v>
      </c>
      <c r="U13" t="s">
        <v>27</v>
      </c>
      <c r="W13" t="s">
        <v>28</v>
      </c>
      <c r="X13">
        <v>60.584066743781101</v>
      </c>
      <c r="Y13" t="s">
        <v>29</v>
      </c>
    </row>
    <row r="14" spans="1:25" x14ac:dyDescent="0.3">
      <c r="A14">
        <v>12</v>
      </c>
      <c r="B14">
        <v>0.5</v>
      </c>
      <c r="C14">
        <v>14.5</v>
      </c>
      <c r="D14">
        <v>9.4188355000223893</v>
      </c>
      <c r="F14">
        <v>9.4040558000560797</v>
      </c>
      <c r="G14">
        <v>9.4188355000223893</v>
      </c>
      <c r="H14">
        <v>9.9191463000606692</v>
      </c>
      <c r="I14">
        <v>9.9191463000606692</v>
      </c>
      <c r="J14">
        <v>9.9191463000606692</v>
      </c>
      <c r="K14">
        <v>10.2696898001013</v>
      </c>
      <c r="L14" t="s">
        <v>30</v>
      </c>
      <c r="M14">
        <v>-14.5</v>
      </c>
      <c r="N14">
        <v>1</v>
      </c>
      <c r="O14">
        <v>1</v>
      </c>
      <c r="P14">
        <v>0.33814979996532202</v>
      </c>
      <c r="Q14">
        <v>10.2190061000874</v>
      </c>
      <c r="R14">
        <v>44733</v>
      </c>
      <c r="S14">
        <v>1</v>
      </c>
      <c r="T14" t="s">
        <v>26</v>
      </c>
      <c r="U14" t="s">
        <v>27</v>
      </c>
      <c r="W14" t="s">
        <v>28</v>
      </c>
      <c r="X14">
        <v>60.584066743781101</v>
      </c>
      <c r="Y14" t="s">
        <v>29</v>
      </c>
    </row>
    <row r="15" spans="1:25" x14ac:dyDescent="0.3">
      <c r="A15">
        <v>13</v>
      </c>
      <c r="B15">
        <v>0.5</v>
      </c>
      <c r="C15">
        <v>14.5</v>
      </c>
      <c r="D15">
        <v>10.2849199000047</v>
      </c>
      <c r="F15">
        <v>10.2700442000059</v>
      </c>
      <c r="G15">
        <v>10.2849199000047</v>
      </c>
      <c r="H15">
        <v>10.769142000004599</v>
      </c>
      <c r="I15">
        <v>10.769142000004599</v>
      </c>
      <c r="J15">
        <v>10.7861974000697</v>
      </c>
      <c r="K15">
        <v>11.086644900031301</v>
      </c>
      <c r="L15" t="s">
        <v>30</v>
      </c>
      <c r="M15">
        <v>-14.5</v>
      </c>
      <c r="N15">
        <v>0</v>
      </c>
      <c r="O15">
        <v>0</v>
      </c>
      <c r="P15">
        <v>0.302064899937249</v>
      </c>
      <c r="Q15">
        <v>11.0692669000709</v>
      </c>
      <c r="R15">
        <v>44733</v>
      </c>
      <c r="S15">
        <v>1</v>
      </c>
      <c r="T15" t="s">
        <v>26</v>
      </c>
      <c r="U15" t="s">
        <v>27</v>
      </c>
      <c r="W15" t="s">
        <v>28</v>
      </c>
      <c r="X15">
        <v>60.584066743781101</v>
      </c>
      <c r="Y15" t="s">
        <v>29</v>
      </c>
    </row>
    <row r="16" spans="1:25" x14ac:dyDescent="0.3">
      <c r="A16">
        <v>14</v>
      </c>
      <c r="B16">
        <v>0.5</v>
      </c>
      <c r="C16">
        <v>15</v>
      </c>
      <c r="D16">
        <v>11.1022821000078</v>
      </c>
      <c r="F16">
        <v>11.0870645000832</v>
      </c>
      <c r="G16">
        <v>11.1022821000078</v>
      </c>
      <c r="H16">
        <v>11.586137500009499</v>
      </c>
      <c r="I16">
        <v>11.586137500009499</v>
      </c>
      <c r="J16">
        <v>11.602712700027</v>
      </c>
      <c r="K16">
        <v>11.9695377000607</v>
      </c>
      <c r="L16" t="s">
        <v>25</v>
      </c>
      <c r="M16">
        <v>15</v>
      </c>
      <c r="N16" s="1">
        <v>0</v>
      </c>
      <c r="O16">
        <v>0</v>
      </c>
      <c r="P16">
        <v>0.37431780004408199</v>
      </c>
      <c r="Q16">
        <v>11.885713900090099</v>
      </c>
      <c r="R16">
        <v>44733</v>
      </c>
      <c r="S16">
        <v>1</v>
      </c>
      <c r="T16" t="s">
        <v>26</v>
      </c>
      <c r="U16" t="s">
        <v>27</v>
      </c>
      <c r="W16" t="s">
        <v>28</v>
      </c>
      <c r="X16">
        <v>60.584066743781101</v>
      </c>
      <c r="Y16" t="s">
        <v>29</v>
      </c>
    </row>
    <row r="17" spans="1:25" x14ac:dyDescent="0.3">
      <c r="A17">
        <v>15</v>
      </c>
      <c r="B17">
        <v>0.5</v>
      </c>
      <c r="C17">
        <v>15.5</v>
      </c>
      <c r="D17">
        <v>11.9859312000917</v>
      </c>
      <c r="F17">
        <v>11.969830300076801</v>
      </c>
      <c r="G17">
        <v>11.9859312000917</v>
      </c>
      <c r="H17">
        <v>12.469682300114</v>
      </c>
      <c r="I17">
        <v>12.469682300114</v>
      </c>
      <c r="J17">
        <v>12.486004400066999</v>
      </c>
      <c r="K17">
        <v>12.886653100023899</v>
      </c>
      <c r="L17" t="s">
        <v>30</v>
      </c>
      <c r="M17">
        <v>-15.5</v>
      </c>
      <c r="N17" s="1">
        <v>1</v>
      </c>
      <c r="O17">
        <v>1</v>
      </c>
      <c r="P17">
        <v>0.40941239998210199</v>
      </c>
      <c r="Q17">
        <v>12.7691426000092</v>
      </c>
      <c r="R17">
        <v>44733</v>
      </c>
      <c r="S17">
        <v>1</v>
      </c>
      <c r="T17" t="s">
        <v>26</v>
      </c>
      <c r="U17" t="s">
        <v>27</v>
      </c>
      <c r="W17" t="s">
        <v>28</v>
      </c>
      <c r="X17">
        <v>60.584066743781101</v>
      </c>
      <c r="Y17" t="s">
        <v>29</v>
      </c>
    </row>
    <row r="18" spans="1:25" x14ac:dyDescent="0.3">
      <c r="A18">
        <v>16</v>
      </c>
      <c r="B18">
        <v>0.5</v>
      </c>
      <c r="C18">
        <v>15.5</v>
      </c>
      <c r="D18">
        <v>12.9027946999995</v>
      </c>
      <c r="F18">
        <v>12.8869933000532</v>
      </c>
      <c r="G18">
        <v>12.9027946999995</v>
      </c>
      <c r="H18">
        <v>13.386167600052399</v>
      </c>
      <c r="I18">
        <v>13.386167600052399</v>
      </c>
      <c r="J18">
        <v>13.4026923000346</v>
      </c>
      <c r="K18">
        <v>14.053190400009001</v>
      </c>
      <c r="L18" t="s">
        <v>25</v>
      </c>
      <c r="M18">
        <v>15.5</v>
      </c>
      <c r="N18">
        <v>1</v>
      </c>
      <c r="O18">
        <v>1</v>
      </c>
      <c r="P18">
        <v>0.65326190006453499</v>
      </c>
      <c r="Q18">
        <v>13.686075400095399</v>
      </c>
      <c r="R18">
        <v>44733</v>
      </c>
      <c r="S18">
        <v>1</v>
      </c>
      <c r="T18" t="s">
        <v>26</v>
      </c>
      <c r="U18" t="s">
        <v>27</v>
      </c>
      <c r="W18" t="s">
        <v>28</v>
      </c>
      <c r="X18">
        <v>60.584066743781101</v>
      </c>
      <c r="Y18" t="s">
        <v>29</v>
      </c>
    </row>
    <row r="19" spans="1:25" x14ac:dyDescent="0.3">
      <c r="A19">
        <v>17</v>
      </c>
      <c r="B19">
        <v>0.5</v>
      </c>
      <c r="C19">
        <v>15.5</v>
      </c>
      <c r="D19">
        <v>14.0691396000329</v>
      </c>
      <c r="F19">
        <v>14.0535293000284</v>
      </c>
      <c r="G19">
        <v>14.0691396000329</v>
      </c>
      <c r="H19">
        <v>14.5526890000328</v>
      </c>
      <c r="I19">
        <v>14.5526890000328</v>
      </c>
      <c r="J19">
        <v>14.569382300018299</v>
      </c>
      <c r="K19">
        <v>14.819814000045801</v>
      </c>
      <c r="L19" t="s">
        <v>25</v>
      </c>
      <c r="M19">
        <v>15.5</v>
      </c>
      <c r="N19">
        <v>0</v>
      </c>
      <c r="O19">
        <v>0</v>
      </c>
      <c r="P19">
        <v>0.25809260003734302</v>
      </c>
      <c r="R19">
        <v>44733</v>
      </c>
      <c r="S19">
        <v>1</v>
      </c>
      <c r="T19" t="s">
        <v>26</v>
      </c>
      <c r="U19" t="s">
        <v>27</v>
      </c>
      <c r="W19" t="s">
        <v>28</v>
      </c>
      <c r="X19">
        <v>60.584066743781101</v>
      </c>
      <c r="Y19" t="s">
        <v>29</v>
      </c>
    </row>
    <row r="20" spans="1:25" x14ac:dyDescent="0.3">
      <c r="A20">
        <v>18</v>
      </c>
      <c r="B20">
        <v>0.5</v>
      </c>
      <c r="C20">
        <v>16</v>
      </c>
      <c r="D20">
        <v>14.835769099998201</v>
      </c>
      <c r="F20">
        <v>14.8201702000806</v>
      </c>
      <c r="G20">
        <v>14.835769099998201</v>
      </c>
      <c r="H20">
        <v>15.3355666000861</v>
      </c>
      <c r="I20">
        <v>15.3355666000861</v>
      </c>
      <c r="J20">
        <v>15.3355666000861</v>
      </c>
      <c r="K20">
        <v>15.951355000026499</v>
      </c>
      <c r="L20" t="s">
        <v>25</v>
      </c>
      <c r="M20">
        <v>16</v>
      </c>
      <c r="N20">
        <v>0</v>
      </c>
      <c r="O20">
        <v>0</v>
      </c>
      <c r="P20">
        <v>0.61318790004588597</v>
      </c>
      <c r="Q20">
        <v>15.635348400101</v>
      </c>
      <c r="R20">
        <v>44733</v>
      </c>
      <c r="S20">
        <v>1</v>
      </c>
      <c r="T20" t="s">
        <v>26</v>
      </c>
      <c r="U20" t="s">
        <v>27</v>
      </c>
      <c r="W20" t="s">
        <v>28</v>
      </c>
      <c r="X20">
        <v>60.584066743781101</v>
      </c>
      <c r="Y20" t="s">
        <v>29</v>
      </c>
    </row>
    <row r="21" spans="1:25" x14ac:dyDescent="0.3">
      <c r="A21">
        <v>19</v>
      </c>
      <c r="B21">
        <v>0.5</v>
      </c>
      <c r="C21">
        <v>16.5</v>
      </c>
      <c r="D21">
        <v>15.967717000050399</v>
      </c>
      <c r="F21">
        <v>15.9515169000951</v>
      </c>
      <c r="G21">
        <v>15.967717000050399</v>
      </c>
      <c r="H21">
        <v>16.452226300025298</v>
      </c>
      <c r="I21">
        <v>16.452226300025298</v>
      </c>
      <c r="J21">
        <v>16.469382800045398</v>
      </c>
      <c r="K21">
        <v>16.786541700013899</v>
      </c>
      <c r="L21" t="s">
        <v>30</v>
      </c>
      <c r="M21">
        <v>-16.5</v>
      </c>
      <c r="N21" s="1">
        <v>0</v>
      </c>
      <c r="O21">
        <v>0</v>
      </c>
      <c r="P21">
        <v>0.32947510003577901</v>
      </c>
      <c r="Q21">
        <v>16.752795900101699</v>
      </c>
      <c r="R21">
        <v>44733</v>
      </c>
      <c r="S21">
        <v>1</v>
      </c>
      <c r="T21" t="s">
        <v>26</v>
      </c>
      <c r="U21" t="s">
        <v>27</v>
      </c>
      <c r="W21" t="s">
        <v>28</v>
      </c>
      <c r="X21">
        <v>60.584066743781101</v>
      </c>
      <c r="Y21" t="s">
        <v>29</v>
      </c>
    </row>
    <row r="22" spans="1:25" x14ac:dyDescent="0.3">
      <c r="A22">
        <v>20</v>
      </c>
      <c r="B22">
        <v>0.5</v>
      </c>
      <c r="C22">
        <v>17</v>
      </c>
      <c r="D22">
        <v>16.802311500068701</v>
      </c>
      <c r="F22">
        <v>16.786927800043401</v>
      </c>
      <c r="G22">
        <v>16.802311500068701</v>
      </c>
      <c r="H22">
        <v>17.300674800062499</v>
      </c>
      <c r="I22">
        <v>17.300674800062499</v>
      </c>
      <c r="J22">
        <v>17.317484600003802</v>
      </c>
      <c r="K22">
        <v>17.7682318000588</v>
      </c>
      <c r="L22" t="s">
        <v>30</v>
      </c>
      <c r="M22">
        <v>-17</v>
      </c>
      <c r="N22" s="1">
        <v>1</v>
      </c>
      <c r="O22">
        <v>1</v>
      </c>
      <c r="P22">
        <v>0.45338839991018098</v>
      </c>
      <c r="Q22">
        <v>17.6003334000706</v>
      </c>
      <c r="R22">
        <v>44733</v>
      </c>
      <c r="S22">
        <v>1</v>
      </c>
      <c r="T22" t="s">
        <v>26</v>
      </c>
      <c r="U22" t="s">
        <v>27</v>
      </c>
      <c r="W22" t="s">
        <v>28</v>
      </c>
      <c r="X22">
        <v>60.584066743781101</v>
      </c>
      <c r="Y22" t="s">
        <v>29</v>
      </c>
    </row>
    <row r="23" spans="1:25" x14ac:dyDescent="0.3">
      <c r="A23">
        <v>21</v>
      </c>
      <c r="B23">
        <v>0.5</v>
      </c>
      <c r="C23">
        <v>17</v>
      </c>
      <c r="D23">
        <v>17.784347500069899</v>
      </c>
      <c r="F23">
        <v>17.768420200096401</v>
      </c>
      <c r="G23">
        <v>17.784347500069899</v>
      </c>
      <c r="H23">
        <v>18.2682750000385</v>
      </c>
      <c r="I23">
        <v>18.2682750000385</v>
      </c>
      <c r="J23">
        <v>18.285120800021101</v>
      </c>
      <c r="K23">
        <v>18.535894100088601</v>
      </c>
      <c r="L23" t="s">
        <v>30</v>
      </c>
      <c r="M23">
        <v>-17</v>
      </c>
      <c r="N23" s="1">
        <v>0</v>
      </c>
      <c r="O23">
        <v>0</v>
      </c>
      <c r="P23">
        <v>0.26472209999337698</v>
      </c>
      <c r="R23">
        <v>44733</v>
      </c>
      <c r="S23">
        <v>1</v>
      </c>
      <c r="T23" t="s">
        <v>26</v>
      </c>
      <c r="U23" t="s">
        <v>27</v>
      </c>
      <c r="W23" t="s">
        <v>28</v>
      </c>
      <c r="X23">
        <v>60.584066743781101</v>
      </c>
      <c r="Y23" t="s">
        <v>29</v>
      </c>
    </row>
    <row r="24" spans="1:25" x14ac:dyDescent="0.3">
      <c r="A24">
        <v>22</v>
      </c>
      <c r="B24">
        <v>0.5</v>
      </c>
      <c r="C24">
        <v>17.5</v>
      </c>
      <c r="D24">
        <v>18.551372100017002</v>
      </c>
      <c r="F24">
        <v>18.536330600036301</v>
      </c>
      <c r="G24">
        <v>18.551372100017002</v>
      </c>
      <c r="H24">
        <v>19.050208600005099</v>
      </c>
      <c r="I24">
        <v>19.050208600005099</v>
      </c>
      <c r="J24">
        <v>19.066946600098099</v>
      </c>
      <c r="K24">
        <v>19.402896200073801</v>
      </c>
      <c r="L24" t="s">
        <v>30</v>
      </c>
      <c r="M24">
        <v>-17.5</v>
      </c>
      <c r="N24" s="1">
        <v>1</v>
      </c>
      <c r="O24">
        <v>1</v>
      </c>
      <c r="P24">
        <v>0.340712700039148</v>
      </c>
      <c r="Q24">
        <v>19.352876500110099</v>
      </c>
      <c r="R24">
        <v>44733</v>
      </c>
      <c r="S24">
        <v>1</v>
      </c>
      <c r="T24" t="s">
        <v>26</v>
      </c>
      <c r="U24" t="s">
        <v>27</v>
      </c>
      <c r="W24" t="s">
        <v>28</v>
      </c>
      <c r="X24">
        <v>60.584066743781101</v>
      </c>
      <c r="Y24" t="s">
        <v>29</v>
      </c>
    </row>
    <row r="25" spans="1:25" x14ac:dyDescent="0.3">
      <c r="A25">
        <v>23</v>
      </c>
      <c r="B25">
        <v>0.5</v>
      </c>
      <c r="C25">
        <v>17.5</v>
      </c>
      <c r="D25">
        <v>19.4188271000748</v>
      </c>
      <c r="F25">
        <v>19.403219000087098</v>
      </c>
      <c r="G25">
        <v>19.4188271000748</v>
      </c>
      <c r="H25">
        <v>19.9024028000421</v>
      </c>
      <c r="I25">
        <v>19.9024028000421</v>
      </c>
      <c r="J25">
        <v>19.919287800090299</v>
      </c>
      <c r="K25">
        <v>20.169569300021902</v>
      </c>
      <c r="L25" t="s">
        <v>25</v>
      </c>
      <c r="M25">
        <v>17.5</v>
      </c>
      <c r="N25" s="1">
        <v>0</v>
      </c>
      <c r="O25">
        <v>0</v>
      </c>
      <c r="P25">
        <v>0.26153160003013898</v>
      </c>
      <c r="R25">
        <v>44733</v>
      </c>
      <c r="S25">
        <v>1</v>
      </c>
      <c r="T25" t="s">
        <v>26</v>
      </c>
      <c r="U25" t="s">
        <v>27</v>
      </c>
      <c r="W25" t="s">
        <v>28</v>
      </c>
      <c r="X25">
        <v>60.584066743781101</v>
      </c>
      <c r="Y25" t="s">
        <v>29</v>
      </c>
    </row>
    <row r="26" spans="1:25" x14ac:dyDescent="0.3">
      <c r="A26">
        <v>24</v>
      </c>
      <c r="B26">
        <v>0.5</v>
      </c>
      <c r="C26">
        <v>18</v>
      </c>
      <c r="D26">
        <v>20.185620900010601</v>
      </c>
      <c r="F26">
        <v>20.1699207000201</v>
      </c>
      <c r="G26">
        <v>20.185620900010601</v>
      </c>
      <c r="H26">
        <v>20.669527500052901</v>
      </c>
      <c r="I26">
        <v>20.669527500052901</v>
      </c>
      <c r="J26">
        <v>20.685860600089601</v>
      </c>
      <c r="K26">
        <v>21.4546869000187</v>
      </c>
      <c r="L26" t="s">
        <v>25</v>
      </c>
      <c r="M26">
        <v>18</v>
      </c>
      <c r="N26" s="1">
        <v>1</v>
      </c>
      <c r="O26">
        <v>1</v>
      </c>
      <c r="P26">
        <v>0.77922310004942097</v>
      </c>
      <c r="Q26">
        <v>20.984474800061399</v>
      </c>
      <c r="R26">
        <v>44733</v>
      </c>
      <c r="S26">
        <v>1</v>
      </c>
      <c r="T26" t="s">
        <v>26</v>
      </c>
      <c r="U26" t="s">
        <v>27</v>
      </c>
      <c r="W26" t="s">
        <v>28</v>
      </c>
      <c r="X26">
        <v>60.584066743781101</v>
      </c>
      <c r="Y26" t="s">
        <v>29</v>
      </c>
    </row>
    <row r="27" spans="1:25" x14ac:dyDescent="0.3">
      <c r="A27">
        <v>25</v>
      </c>
      <c r="B27">
        <v>0.5</v>
      </c>
      <c r="C27">
        <v>18</v>
      </c>
      <c r="D27">
        <v>21.469409700017401</v>
      </c>
      <c r="F27">
        <v>21.454982400056899</v>
      </c>
      <c r="G27">
        <v>21.469409700017401</v>
      </c>
      <c r="H27">
        <v>21.9680839000502</v>
      </c>
      <c r="I27">
        <v>21.9680839000502</v>
      </c>
      <c r="J27">
        <v>21.984472800046198</v>
      </c>
      <c r="K27">
        <v>22.201010000077002</v>
      </c>
      <c r="L27" t="s">
        <v>25</v>
      </c>
      <c r="M27">
        <v>18</v>
      </c>
      <c r="N27" s="1">
        <v>0</v>
      </c>
      <c r="O27">
        <v>0</v>
      </c>
      <c r="P27">
        <v>0.23181010002735999</v>
      </c>
      <c r="R27">
        <v>44733</v>
      </c>
      <c r="S27">
        <v>1</v>
      </c>
      <c r="T27" t="s">
        <v>26</v>
      </c>
      <c r="U27" t="s">
        <v>27</v>
      </c>
      <c r="W27" t="s">
        <v>28</v>
      </c>
      <c r="X27">
        <v>60.584066743781101</v>
      </c>
      <c r="Y27" t="s">
        <v>29</v>
      </c>
    </row>
    <row r="28" spans="1:25" x14ac:dyDescent="0.3">
      <c r="A28">
        <v>26</v>
      </c>
      <c r="B28">
        <v>0.5</v>
      </c>
      <c r="C28">
        <v>18.5</v>
      </c>
      <c r="D28">
        <v>22.217428400064801</v>
      </c>
      <c r="F28">
        <v>22.201246800017501</v>
      </c>
      <c r="G28">
        <v>22.217428400064801</v>
      </c>
      <c r="H28">
        <v>22.700650200014898</v>
      </c>
      <c r="I28">
        <v>22.700650200014898</v>
      </c>
      <c r="J28">
        <v>22.718286700080998</v>
      </c>
      <c r="K28">
        <v>23.436173600028201</v>
      </c>
      <c r="L28" t="s">
        <v>25</v>
      </c>
      <c r="M28">
        <v>18.5</v>
      </c>
      <c r="N28" s="1">
        <v>1</v>
      </c>
      <c r="O28">
        <v>1</v>
      </c>
      <c r="P28">
        <v>0.72838240000419296</v>
      </c>
      <c r="Q28">
        <v>23.002346000052</v>
      </c>
      <c r="R28">
        <v>44733</v>
      </c>
      <c r="S28">
        <v>1</v>
      </c>
      <c r="T28" t="s">
        <v>26</v>
      </c>
      <c r="U28" t="s">
        <v>27</v>
      </c>
      <c r="W28" t="s">
        <v>28</v>
      </c>
      <c r="X28">
        <v>60.584066743781101</v>
      </c>
      <c r="Y28" t="s">
        <v>29</v>
      </c>
    </row>
    <row r="29" spans="1:25" x14ac:dyDescent="0.3">
      <c r="A29">
        <v>27</v>
      </c>
      <c r="B29">
        <v>0.5</v>
      </c>
      <c r="C29">
        <v>18.5</v>
      </c>
      <c r="D29">
        <v>23.452791600022401</v>
      </c>
      <c r="F29">
        <v>23.436522900010399</v>
      </c>
      <c r="G29">
        <v>23.452791600022401</v>
      </c>
      <c r="H29">
        <v>23.935543400002601</v>
      </c>
      <c r="I29">
        <v>23.935543400002601</v>
      </c>
      <c r="J29">
        <v>23.9521872000768</v>
      </c>
      <c r="K29">
        <v>24.3364994000876</v>
      </c>
      <c r="L29" t="s">
        <v>30</v>
      </c>
      <c r="M29">
        <v>-18.5</v>
      </c>
      <c r="N29">
        <v>1</v>
      </c>
      <c r="O29">
        <v>1</v>
      </c>
      <c r="P29">
        <v>0.39794190006796198</v>
      </c>
      <c r="Q29">
        <v>24.236050300067198</v>
      </c>
      <c r="R29">
        <v>44733</v>
      </c>
      <c r="S29">
        <v>1</v>
      </c>
      <c r="T29" t="s">
        <v>26</v>
      </c>
      <c r="U29" t="s">
        <v>27</v>
      </c>
      <c r="W29" t="s">
        <v>28</v>
      </c>
      <c r="X29">
        <v>60.584066743781101</v>
      </c>
      <c r="Y29" t="s">
        <v>29</v>
      </c>
    </row>
    <row r="30" spans="1:25" x14ac:dyDescent="0.3">
      <c r="A30">
        <v>28</v>
      </c>
      <c r="B30">
        <v>0.5</v>
      </c>
      <c r="C30">
        <v>18.5</v>
      </c>
      <c r="D30">
        <v>24.352194700040801</v>
      </c>
      <c r="F30">
        <v>24.336795000010099</v>
      </c>
      <c r="G30">
        <v>24.352194700040801</v>
      </c>
      <c r="H30">
        <v>24.836316100088801</v>
      </c>
      <c r="I30">
        <v>24.836316100088801</v>
      </c>
      <c r="J30">
        <v>24.852353700087399</v>
      </c>
      <c r="K30">
        <v>25.253390600089901</v>
      </c>
      <c r="L30" t="s">
        <v>25</v>
      </c>
      <c r="M30">
        <v>18.5</v>
      </c>
      <c r="N30">
        <v>1</v>
      </c>
      <c r="O30">
        <v>1</v>
      </c>
      <c r="P30">
        <v>0.412376099964603</v>
      </c>
      <c r="Q30">
        <v>25.135919500025899</v>
      </c>
      <c r="R30">
        <v>44733</v>
      </c>
      <c r="S30">
        <v>1</v>
      </c>
      <c r="T30" t="s">
        <v>26</v>
      </c>
      <c r="U30" t="s">
        <v>27</v>
      </c>
      <c r="W30" t="s">
        <v>28</v>
      </c>
      <c r="X30">
        <v>60.584066743781101</v>
      </c>
      <c r="Y30" t="s">
        <v>29</v>
      </c>
    </row>
    <row r="31" spans="1:25" x14ac:dyDescent="0.3">
      <c r="A31">
        <v>29</v>
      </c>
      <c r="B31">
        <v>0.5</v>
      </c>
      <c r="C31">
        <v>18</v>
      </c>
      <c r="D31">
        <v>25.268932800041501</v>
      </c>
      <c r="F31">
        <v>25.2537376000545</v>
      </c>
      <c r="G31">
        <v>25.268932800041501</v>
      </c>
      <c r="H31">
        <v>25.752487900084802</v>
      </c>
      <c r="I31">
        <v>25.752487900084802</v>
      </c>
      <c r="J31">
        <v>25.768857900053199</v>
      </c>
      <c r="K31">
        <v>26.119981000083499</v>
      </c>
      <c r="L31" t="s">
        <v>25</v>
      </c>
      <c r="M31">
        <v>18</v>
      </c>
      <c r="N31">
        <v>0</v>
      </c>
      <c r="O31">
        <v>0</v>
      </c>
      <c r="P31">
        <v>0.35511549992952401</v>
      </c>
      <c r="Q31">
        <v>26.052228400017999</v>
      </c>
      <c r="R31">
        <v>44733</v>
      </c>
      <c r="S31">
        <v>1</v>
      </c>
      <c r="T31" t="s">
        <v>26</v>
      </c>
      <c r="U31" t="s">
        <v>27</v>
      </c>
      <c r="W31" t="s">
        <v>28</v>
      </c>
      <c r="X31">
        <v>60.584066743781101</v>
      </c>
      <c r="Y31" t="s">
        <v>29</v>
      </c>
    </row>
    <row r="32" spans="1:25" x14ac:dyDescent="0.3">
      <c r="A32">
        <v>30</v>
      </c>
      <c r="B32">
        <v>0.5</v>
      </c>
      <c r="C32">
        <v>18.5</v>
      </c>
      <c r="D32">
        <v>26.135948400013099</v>
      </c>
      <c r="F32">
        <v>26.120330500067201</v>
      </c>
      <c r="G32">
        <v>26.135948400013099</v>
      </c>
      <c r="H32">
        <v>26.619431800092499</v>
      </c>
      <c r="I32">
        <v>26.619431800092499</v>
      </c>
      <c r="J32">
        <v>26.635740700061401</v>
      </c>
      <c r="K32">
        <v>27.253170800046</v>
      </c>
      <c r="L32" t="s">
        <v>30</v>
      </c>
      <c r="M32">
        <v>-18.5</v>
      </c>
      <c r="N32" s="1">
        <v>0</v>
      </c>
      <c r="O32">
        <v>0</v>
      </c>
      <c r="P32">
        <v>0.61757929995656002</v>
      </c>
      <c r="Q32">
        <v>26.918844000087098</v>
      </c>
      <c r="R32">
        <v>44733</v>
      </c>
      <c r="S32">
        <v>1</v>
      </c>
      <c r="T32" t="s">
        <v>26</v>
      </c>
      <c r="U32" t="s">
        <v>27</v>
      </c>
      <c r="W32" t="s">
        <v>28</v>
      </c>
      <c r="X32">
        <v>60.584066743781101</v>
      </c>
      <c r="Y32" t="s">
        <v>29</v>
      </c>
    </row>
    <row r="33" spans="1:25" x14ac:dyDescent="0.3">
      <c r="A33">
        <v>31</v>
      </c>
      <c r="B33">
        <v>0.5</v>
      </c>
      <c r="C33">
        <v>19</v>
      </c>
      <c r="D33">
        <v>27.269052600022398</v>
      </c>
      <c r="F33">
        <v>27.253628700040199</v>
      </c>
      <c r="G33">
        <v>27.269052600022398</v>
      </c>
      <c r="H33">
        <v>27.752199200098399</v>
      </c>
      <c r="I33">
        <v>27.752199200098399</v>
      </c>
      <c r="J33">
        <v>27.7691827000817</v>
      </c>
      <c r="K33">
        <v>28.369106600060999</v>
      </c>
      <c r="L33" t="s">
        <v>25</v>
      </c>
      <c r="M33">
        <v>19</v>
      </c>
      <c r="N33" s="1">
        <v>1</v>
      </c>
      <c r="O33">
        <v>1</v>
      </c>
      <c r="P33">
        <v>0.60273080004844803</v>
      </c>
      <c r="Q33">
        <v>28.052382200025001</v>
      </c>
      <c r="R33">
        <v>44733</v>
      </c>
      <c r="S33">
        <v>1</v>
      </c>
      <c r="T33" t="s">
        <v>26</v>
      </c>
      <c r="U33" t="s">
        <v>27</v>
      </c>
      <c r="W33" t="s">
        <v>28</v>
      </c>
      <c r="X33">
        <v>60.584066743781101</v>
      </c>
      <c r="Y33" t="s">
        <v>29</v>
      </c>
    </row>
    <row r="34" spans="1:25" x14ac:dyDescent="0.3">
      <c r="A34">
        <v>32</v>
      </c>
      <c r="B34">
        <v>0.5</v>
      </c>
      <c r="C34">
        <v>19</v>
      </c>
      <c r="D34">
        <v>28.385464400052999</v>
      </c>
      <c r="F34">
        <v>28.369451900012699</v>
      </c>
      <c r="G34">
        <v>28.385464400052999</v>
      </c>
      <c r="H34">
        <v>28.869404199998801</v>
      </c>
      <c r="I34">
        <v>28.869404199998801</v>
      </c>
      <c r="J34">
        <v>28.885583100025499</v>
      </c>
      <c r="K34">
        <v>29.404465200030199</v>
      </c>
      <c r="L34" t="s">
        <v>25</v>
      </c>
      <c r="M34">
        <v>19</v>
      </c>
      <c r="N34" s="1">
        <v>0</v>
      </c>
      <c r="O34">
        <v>0</v>
      </c>
      <c r="P34">
        <v>0.53190879989415396</v>
      </c>
      <c r="Q34">
        <v>29.168990800040699</v>
      </c>
      <c r="R34">
        <v>44733</v>
      </c>
      <c r="S34">
        <v>1</v>
      </c>
      <c r="T34" t="s">
        <v>26</v>
      </c>
      <c r="U34" t="s">
        <v>27</v>
      </c>
      <c r="W34" t="s">
        <v>28</v>
      </c>
      <c r="X34">
        <v>60.584066743781101</v>
      </c>
      <c r="Y34" t="s">
        <v>29</v>
      </c>
    </row>
    <row r="35" spans="1:25" x14ac:dyDescent="0.3">
      <c r="A35">
        <v>33</v>
      </c>
      <c r="B35">
        <v>0.5</v>
      </c>
      <c r="C35">
        <v>19.5</v>
      </c>
      <c r="D35">
        <v>29.419407600071199</v>
      </c>
      <c r="F35">
        <v>29.4048076000763</v>
      </c>
      <c r="G35">
        <v>29.419407600071199</v>
      </c>
      <c r="H35">
        <v>29.918917900067701</v>
      </c>
      <c r="I35">
        <v>29.918917900067701</v>
      </c>
      <c r="J35">
        <v>29.918917900067701</v>
      </c>
      <c r="K35">
        <v>31.536591100040798</v>
      </c>
      <c r="L35" t="s">
        <v>25</v>
      </c>
      <c r="M35">
        <v>19.5</v>
      </c>
      <c r="N35" s="1">
        <v>1</v>
      </c>
      <c r="O35">
        <v>1</v>
      </c>
      <c r="P35">
        <v>1.6135274000698701</v>
      </c>
      <c r="Q35">
        <v>30.218815900036098</v>
      </c>
      <c r="R35">
        <v>44733</v>
      </c>
      <c r="S35">
        <v>1</v>
      </c>
      <c r="T35" t="s">
        <v>26</v>
      </c>
      <c r="U35" t="s">
        <v>27</v>
      </c>
      <c r="W35" t="s">
        <v>28</v>
      </c>
      <c r="X35">
        <v>60.584066743781101</v>
      </c>
      <c r="Y35" t="s">
        <v>29</v>
      </c>
    </row>
    <row r="36" spans="1:25" x14ac:dyDescent="0.3">
      <c r="A36">
        <v>34</v>
      </c>
      <c r="B36">
        <v>0.5</v>
      </c>
      <c r="C36">
        <v>19.5</v>
      </c>
      <c r="D36">
        <v>31.552779000019601</v>
      </c>
      <c r="F36">
        <v>31.536924100015302</v>
      </c>
      <c r="G36">
        <v>31.552779000019601</v>
      </c>
      <c r="H36">
        <v>32.035816000075997</v>
      </c>
      <c r="I36">
        <v>32.035816000075997</v>
      </c>
      <c r="J36">
        <v>32.053099400014602</v>
      </c>
      <c r="K36">
        <v>32.670999100082497</v>
      </c>
      <c r="L36" t="s">
        <v>30</v>
      </c>
      <c r="M36">
        <v>-19.5</v>
      </c>
      <c r="N36">
        <v>1</v>
      </c>
      <c r="O36">
        <v>1</v>
      </c>
      <c r="P36">
        <v>0.63242579996585802</v>
      </c>
      <c r="Q36">
        <v>32.336039600078898</v>
      </c>
      <c r="R36">
        <v>44733</v>
      </c>
      <c r="S36">
        <v>1</v>
      </c>
      <c r="T36" t="s">
        <v>26</v>
      </c>
      <c r="U36" t="s">
        <v>27</v>
      </c>
      <c r="W36" t="s">
        <v>28</v>
      </c>
      <c r="X36">
        <v>60.584066743781101</v>
      </c>
      <c r="Y36" t="s">
        <v>29</v>
      </c>
    </row>
    <row r="37" spans="1:25" x14ac:dyDescent="0.3">
      <c r="A37">
        <v>35</v>
      </c>
      <c r="B37">
        <v>0.5</v>
      </c>
      <c r="C37">
        <v>19.5</v>
      </c>
      <c r="D37">
        <v>32.685236900113502</v>
      </c>
      <c r="F37">
        <v>32.671330300043302</v>
      </c>
      <c r="G37">
        <v>32.685236900113502</v>
      </c>
      <c r="H37">
        <v>33.185888800071503</v>
      </c>
      <c r="I37">
        <v>33.185888800071503</v>
      </c>
      <c r="J37">
        <v>33.185888800071503</v>
      </c>
      <c r="K37">
        <v>33.7196630000835</v>
      </c>
      <c r="L37" t="s">
        <v>25</v>
      </c>
      <c r="M37">
        <v>19.5</v>
      </c>
      <c r="N37">
        <v>0</v>
      </c>
      <c r="O37">
        <v>0</v>
      </c>
      <c r="P37">
        <v>0.52587230002973195</v>
      </c>
      <c r="Q37">
        <v>33.486047600046703</v>
      </c>
      <c r="R37">
        <v>44733</v>
      </c>
      <c r="S37">
        <v>1</v>
      </c>
      <c r="T37" t="s">
        <v>26</v>
      </c>
      <c r="U37" t="s">
        <v>27</v>
      </c>
      <c r="W37" t="s">
        <v>28</v>
      </c>
      <c r="X37">
        <v>60.584066743781101</v>
      </c>
      <c r="Y37" t="s">
        <v>29</v>
      </c>
    </row>
    <row r="38" spans="1:25" x14ac:dyDescent="0.3">
      <c r="A38">
        <v>36</v>
      </c>
      <c r="B38">
        <v>0.5</v>
      </c>
      <c r="C38">
        <v>20</v>
      </c>
      <c r="D38">
        <v>33.735651900060397</v>
      </c>
      <c r="F38">
        <v>33.720028200070303</v>
      </c>
      <c r="G38">
        <v>33.735651900060397</v>
      </c>
      <c r="H38">
        <v>34.219606600003303</v>
      </c>
      <c r="I38">
        <v>34.219606600003303</v>
      </c>
      <c r="J38">
        <v>34.236028200015397</v>
      </c>
      <c r="K38">
        <v>34.669725900050203</v>
      </c>
      <c r="L38" t="s">
        <v>30</v>
      </c>
      <c r="M38">
        <v>-20</v>
      </c>
      <c r="N38">
        <v>0</v>
      </c>
      <c r="O38">
        <v>0</v>
      </c>
      <c r="P38">
        <v>0.44144229998346401</v>
      </c>
      <c r="Q38">
        <v>34.519153500092202</v>
      </c>
      <c r="R38">
        <v>44733</v>
      </c>
      <c r="S38">
        <v>1</v>
      </c>
      <c r="T38" t="s">
        <v>26</v>
      </c>
      <c r="U38" t="s">
        <v>27</v>
      </c>
      <c r="W38" t="s">
        <v>28</v>
      </c>
      <c r="X38">
        <v>60.584066743781101</v>
      </c>
      <c r="Y38" t="s">
        <v>29</v>
      </c>
    </row>
    <row r="39" spans="1:25" x14ac:dyDescent="0.3">
      <c r="A39">
        <v>37</v>
      </c>
      <c r="B39">
        <v>0.5</v>
      </c>
      <c r="C39">
        <v>20</v>
      </c>
      <c r="D39">
        <v>34.686058200080801</v>
      </c>
      <c r="F39">
        <v>34.670014500035897</v>
      </c>
      <c r="G39">
        <v>34.686058200080801</v>
      </c>
      <c r="H39">
        <v>35.169547700090298</v>
      </c>
      <c r="I39">
        <v>35.169547700090298</v>
      </c>
      <c r="J39">
        <v>35.185865600011297</v>
      </c>
      <c r="K39">
        <v>35.6039266000734</v>
      </c>
      <c r="L39" t="s">
        <v>25</v>
      </c>
      <c r="M39">
        <v>20</v>
      </c>
      <c r="N39" s="1">
        <v>0</v>
      </c>
      <c r="O39">
        <v>0</v>
      </c>
      <c r="P39">
        <v>0.43323039996903301</v>
      </c>
      <c r="Q39">
        <v>35.485018300008903</v>
      </c>
      <c r="R39">
        <v>44733</v>
      </c>
      <c r="S39">
        <v>1</v>
      </c>
      <c r="T39" t="s">
        <v>26</v>
      </c>
      <c r="U39" t="s">
        <v>27</v>
      </c>
      <c r="W39" t="s">
        <v>28</v>
      </c>
      <c r="X39">
        <v>60.584066743781101</v>
      </c>
      <c r="Y39" t="s">
        <v>29</v>
      </c>
    </row>
    <row r="40" spans="1:25" x14ac:dyDescent="0.3">
      <c r="A40">
        <v>38</v>
      </c>
      <c r="B40">
        <v>0.5</v>
      </c>
      <c r="C40">
        <v>20</v>
      </c>
      <c r="D40">
        <v>35.619160000001997</v>
      </c>
      <c r="F40">
        <v>35.604327000095502</v>
      </c>
      <c r="G40">
        <v>35.619160000001997</v>
      </c>
      <c r="H40">
        <v>36.1191599000012</v>
      </c>
      <c r="I40">
        <v>36.1191599000012</v>
      </c>
      <c r="J40">
        <v>36.1191599000012</v>
      </c>
      <c r="K40">
        <v>36.518524500075699</v>
      </c>
      <c r="L40" t="s">
        <v>25</v>
      </c>
      <c r="M40">
        <v>20</v>
      </c>
      <c r="N40" s="1">
        <v>1</v>
      </c>
      <c r="O40">
        <v>1</v>
      </c>
      <c r="P40">
        <v>0.38486760004889198</v>
      </c>
      <c r="Q40">
        <v>36.419270100071998</v>
      </c>
      <c r="R40">
        <v>44733</v>
      </c>
      <c r="S40">
        <v>1</v>
      </c>
      <c r="T40" t="s">
        <v>26</v>
      </c>
      <c r="U40" t="s">
        <v>27</v>
      </c>
      <c r="W40" t="s">
        <v>28</v>
      </c>
      <c r="X40">
        <v>60.584066743781101</v>
      </c>
      <c r="Y40" t="s">
        <v>29</v>
      </c>
    </row>
    <row r="41" spans="1:25" x14ac:dyDescent="0.3">
      <c r="A41">
        <v>39</v>
      </c>
      <c r="B41">
        <v>0.5</v>
      </c>
      <c r="C41">
        <v>20</v>
      </c>
      <c r="D41">
        <v>36.534842500113797</v>
      </c>
      <c r="F41">
        <v>36.518881900003102</v>
      </c>
      <c r="G41">
        <v>36.534842500113797</v>
      </c>
      <c r="H41">
        <v>37.019522500107897</v>
      </c>
      <c r="I41">
        <v>37.019522500107897</v>
      </c>
      <c r="J41">
        <v>37.035480400081703</v>
      </c>
      <c r="K41">
        <v>37.453182100085499</v>
      </c>
      <c r="L41" t="s">
        <v>25</v>
      </c>
      <c r="M41">
        <v>20</v>
      </c>
      <c r="N41" s="1">
        <v>0</v>
      </c>
      <c r="O41">
        <v>0</v>
      </c>
      <c r="P41">
        <v>0.42109700001310502</v>
      </c>
      <c r="Q41">
        <v>37.318844900000798</v>
      </c>
      <c r="R41">
        <v>44733</v>
      </c>
      <c r="S41">
        <v>1</v>
      </c>
      <c r="T41" t="s">
        <v>26</v>
      </c>
      <c r="U41" t="s">
        <v>27</v>
      </c>
      <c r="W41" t="s">
        <v>28</v>
      </c>
      <c r="X41">
        <v>60.584066743781101</v>
      </c>
      <c r="Y41" t="s">
        <v>29</v>
      </c>
    </row>
    <row r="42" spans="1:25" x14ac:dyDescent="0.3">
      <c r="A42">
        <v>40</v>
      </c>
      <c r="B42">
        <v>0.5</v>
      </c>
      <c r="C42">
        <v>20</v>
      </c>
      <c r="D42">
        <v>37.469231400056699</v>
      </c>
      <c r="F42">
        <v>37.4536202000454</v>
      </c>
      <c r="G42">
        <v>37.469231400056699</v>
      </c>
      <c r="H42">
        <v>37.952909100102197</v>
      </c>
      <c r="I42">
        <v>37.952909100102197</v>
      </c>
      <c r="J42">
        <v>37.968746600090498</v>
      </c>
      <c r="K42">
        <v>38.453320400090803</v>
      </c>
      <c r="L42" t="s">
        <v>25</v>
      </c>
      <c r="M42">
        <v>20</v>
      </c>
      <c r="N42" s="1">
        <v>1</v>
      </c>
      <c r="O42">
        <v>1</v>
      </c>
      <c r="P42">
        <v>0.49194850004278101</v>
      </c>
      <c r="Q42">
        <v>38.251901600044199</v>
      </c>
      <c r="R42">
        <v>44733</v>
      </c>
      <c r="S42">
        <v>1</v>
      </c>
      <c r="T42" t="s">
        <v>26</v>
      </c>
      <c r="U42" t="s">
        <v>27</v>
      </c>
      <c r="W42" t="s">
        <v>28</v>
      </c>
      <c r="X42">
        <v>60.584066743781101</v>
      </c>
      <c r="Y42" t="s">
        <v>29</v>
      </c>
    </row>
    <row r="43" spans="1:25" x14ac:dyDescent="0.3">
      <c r="A43">
        <v>41</v>
      </c>
      <c r="B43">
        <v>0.5</v>
      </c>
      <c r="C43">
        <v>20</v>
      </c>
      <c r="D43">
        <v>38.468748600105698</v>
      </c>
      <c r="F43">
        <v>38.453751500113803</v>
      </c>
      <c r="G43">
        <v>38.468748600105698</v>
      </c>
      <c r="H43">
        <v>38.952570200082803</v>
      </c>
      <c r="I43">
        <v>38.952570200082803</v>
      </c>
      <c r="J43">
        <v>38.969376300112302</v>
      </c>
      <c r="K43">
        <v>39.320269500021801</v>
      </c>
      <c r="L43" t="s">
        <v>30</v>
      </c>
      <c r="M43">
        <v>-20</v>
      </c>
      <c r="N43">
        <v>1</v>
      </c>
      <c r="O43">
        <v>1</v>
      </c>
      <c r="P43">
        <v>0.362672799965366</v>
      </c>
      <c r="Q43">
        <v>39.252192600048097</v>
      </c>
      <c r="R43">
        <v>44733</v>
      </c>
      <c r="S43">
        <v>1</v>
      </c>
      <c r="T43" t="s">
        <v>26</v>
      </c>
      <c r="U43" t="s">
        <v>27</v>
      </c>
      <c r="W43" t="s">
        <v>28</v>
      </c>
      <c r="X43">
        <v>60.584066743781101</v>
      </c>
      <c r="Y43" t="s">
        <v>29</v>
      </c>
    </row>
    <row r="44" spans="1:25" x14ac:dyDescent="0.3">
      <c r="A44">
        <v>42</v>
      </c>
      <c r="B44">
        <v>0.5</v>
      </c>
      <c r="C44">
        <v>20</v>
      </c>
      <c r="D44">
        <v>39.3355838001007</v>
      </c>
      <c r="F44">
        <v>39.320650300011003</v>
      </c>
      <c r="G44">
        <v>39.3355838001007</v>
      </c>
      <c r="H44">
        <v>39.835723299998698</v>
      </c>
      <c r="I44">
        <v>39.835723299998698</v>
      </c>
      <c r="J44">
        <v>39.835723299998698</v>
      </c>
      <c r="K44">
        <v>40.3863777000224</v>
      </c>
      <c r="L44" t="s">
        <v>25</v>
      </c>
      <c r="M44">
        <v>20</v>
      </c>
      <c r="N44">
        <v>1</v>
      </c>
      <c r="O44">
        <v>1</v>
      </c>
      <c r="P44">
        <v>0.54782810003962301</v>
      </c>
      <c r="Q44">
        <v>40.1361069000558</v>
      </c>
      <c r="R44">
        <v>44733</v>
      </c>
      <c r="S44">
        <v>1</v>
      </c>
      <c r="T44" t="s">
        <v>26</v>
      </c>
      <c r="U44" t="s">
        <v>27</v>
      </c>
      <c r="W44" t="s">
        <v>28</v>
      </c>
      <c r="X44">
        <v>60.584066743781101</v>
      </c>
      <c r="Y44" t="s">
        <v>29</v>
      </c>
    </row>
    <row r="45" spans="1:25" x14ac:dyDescent="0.3">
      <c r="A45">
        <v>43</v>
      </c>
      <c r="B45">
        <v>0.5</v>
      </c>
      <c r="C45">
        <v>19.5</v>
      </c>
      <c r="D45">
        <v>40.401759100030098</v>
      </c>
      <c r="F45">
        <v>40.386690300074399</v>
      </c>
      <c r="G45">
        <v>40.401759100030098</v>
      </c>
      <c r="H45">
        <v>40.902331400080499</v>
      </c>
      <c r="I45">
        <v>40.902331400080499</v>
      </c>
      <c r="J45">
        <v>40.902331400080499</v>
      </c>
      <c r="K45">
        <v>41.220106300082897</v>
      </c>
      <c r="L45" t="s">
        <v>30</v>
      </c>
      <c r="M45">
        <v>-19.5</v>
      </c>
      <c r="N45">
        <v>1</v>
      </c>
      <c r="O45">
        <v>1</v>
      </c>
      <c r="P45">
        <v>0.31300249998457702</v>
      </c>
      <c r="Q45">
        <v>41.202650799997997</v>
      </c>
      <c r="R45">
        <v>44733</v>
      </c>
      <c r="S45">
        <v>1</v>
      </c>
      <c r="T45" t="s">
        <v>26</v>
      </c>
      <c r="U45" t="s">
        <v>27</v>
      </c>
      <c r="W45" t="s">
        <v>28</v>
      </c>
      <c r="X45">
        <v>60.584066743781101</v>
      </c>
      <c r="Y45" t="s">
        <v>29</v>
      </c>
    </row>
    <row r="46" spans="1:25" x14ac:dyDescent="0.3">
      <c r="A46">
        <v>44</v>
      </c>
      <c r="B46">
        <v>0.5</v>
      </c>
      <c r="C46">
        <v>19.5</v>
      </c>
      <c r="D46">
        <v>41.2357337001012</v>
      </c>
      <c r="F46">
        <v>41.220386300003099</v>
      </c>
      <c r="G46">
        <v>41.2357337001012</v>
      </c>
      <c r="H46">
        <v>41.735944900079602</v>
      </c>
      <c r="I46">
        <v>41.735944900079602</v>
      </c>
      <c r="J46">
        <v>41.735944900079602</v>
      </c>
      <c r="K46">
        <v>41.969389000092598</v>
      </c>
      <c r="L46" t="s">
        <v>30</v>
      </c>
      <c r="M46">
        <v>-19.5</v>
      </c>
      <c r="N46">
        <v>0</v>
      </c>
      <c r="O46">
        <v>0</v>
      </c>
      <c r="P46">
        <v>0.22809760004747601</v>
      </c>
      <c r="R46">
        <v>44733</v>
      </c>
      <c r="S46">
        <v>1</v>
      </c>
      <c r="T46" t="s">
        <v>26</v>
      </c>
      <c r="U46" t="s">
        <v>27</v>
      </c>
      <c r="W46" t="s">
        <v>28</v>
      </c>
      <c r="X46">
        <v>60.584066743781101</v>
      </c>
      <c r="Y46" t="s">
        <v>29</v>
      </c>
    </row>
    <row r="47" spans="1:25" x14ac:dyDescent="0.3">
      <c r="A47">
        <v>45</v>
      </c>
      <c r="B47">
        <v>0.5</v>
      </c>
      <c r="C47">
        <v>20</v>
      </c>
      <c r="D47">
        <v>41.9857480000937</v>
      </c>
      <c r="F47">
        <v>41.969904700061299</v>
      </c>
      <c r="G47">
        <v>41.9857480000937</v>
      </c>
      <c r="H47">
        <v>42.469641800038502</v>
      </c>
      <c r="I47">
        <v>42.469641800038502</v>
      </c>
      <c r="J47">
        <v>42.486300800111998</v>
      </c>
      <c r="K47">
        <v>42.586821400094699</v>
      </c>
      <c r="L47" t="s">
        <v>25</v>
      </c>
      <c r="M47">
        <v>20</v>
      </c>
      <c r="N47">
        <v>0</v>
      </c>
      <c r="O47">
        <v>0</v>
      </c>
      <c r="P47">
        <v>0.10134649998508299</v>
      </c>
      <c r="R47">
        <v>44733</v>
      </c>
      <c r="S47">
        <v>1</v>
      </c>
      <c r="T47" t="s">
        <v>26</v>
      </c>
      <c r="U47" t="s">
        <v>27</v>
      </c>
      <c r="W47" t="s">
        <v>28</v>
      </c>
      <c r="X47">
        <v>60.584066743781101</v>
      </c>
      <c r="Y47" t="s">
        <v>29</v>
      </c>
    </row>
    <row r="48" spans="1:25" x14ac:dyDescent="0.3">
      <c r="A48">
        <v>46</v>
      </c>
      <c r="B48">
        <v>0.5</v>
      </c>
      <c r="C48">
        <v>20</v>
      </c>
      <c r="D48">
        <v>42.602650000015203</v>
      </c>
      <c r="F48">
        <v>42.5871693000663</v>
      </c>
      <c r="G48">
        <v>42.602650000015203</v>
      </c>
      <c r="H48">
        <v>43.102056500036198</v>
      </c>
      <c r="I48">
        <v>43.102056500036198</v>
      </c>
      <c r="J48">
        <v>43.102056500036198</v>
      </c>
      <c r="K48">
        <v>43.353345100069397</v>
      </c>
      <c r="L48" t="s">
        <v>25</v>
      </c>
      <c r="M48">
        <v>20</v>
      </c>
      <c r="N48" s="1">
        <v>0</v>
      </c>
      <c r="O48">
        <v>0</v>
      </c>
      <c r="P48">
        <v>0.24289630004204801</v>
      </c>
      <c r="R48">
        <v>44733</v>
      </c>
      <c r="S48">
        <v>1</v>
      </c>
      <c r="T48" t="s">
        <v>26</v>
      </c>
      <c r="U48" t="s">
        <v>27</v>
      </c>
      <c r="W48" t="s">
        <v>28</v>
      </c>
      <c r="X48">
        <v>60.584066743781101</v>
      </c>
      <c r="Y48" t="s">
        <v>29</v>
      </c>
    </row>
    <row r="49" spans="1:25" x14ac:dyDescent="0.3">
      <c r="A49">
        <v>47</v>
      </c>
      <c r="B49">
        <v>0.5</v>
      </c>
      <c r="C49">
        <v>20</v>
      </c>
      <c r="D49">
        <v>43.368553600041103</v>
      </c>
      <c r="F49">
        <v>43.353685100097202</v>
      </c>
      <c r="G49">
        <v>43.368553600041103</v>
      </c>
      <c r="H49">
        <v>43.869136200053603</v>
      </c>
      <c r="I49">
        <v>43.869136200053603</v>
      </c>
      <c r="J49">
        <v>43.869136200053603</v>
      </c>
      <c r="K49">
        <v>43.986923800082799</v>
      </c>
      <c r="L49" t="s">
        <v>25</v>
      </c>
      <c r="M49">
        <v>20</v>
      </c>
      <c r="N49" s="1">
        <v>1</v>
      </c>
      <c r="O49">
        <v>1</v>
      </c>
      <c r="P49">
        <v>0.115031900000758</v>
      </c>
      <c r="R49">
        <v>44733</v>
      </c>
      <c r="S49">
        <v>1</v>
      </c>
      <c r="T49" t="s">
        <v>26</v>
      </c>
      <c r="U49" t="s">
        <v>27</v>
      </c>
      <c r="W49" t="s">
        <v>28</v>
      </c>
      <c r="X49">
        <v>60.584066743781101</v>
      </c>
      <c r="Y49" t="s">
        <v>29</v>
      </c>
    </row>
    <row r="50" spans="1:25" x14ac:dyDescent="0.3">
      <c r="A50">
        <v>48</v>
      </c>
      <c r="B50">
        <v>0.5</v>
      </c>
      <c r="C50">
        <v>20</v>
      </c>
      <c r="D50">
        <v>44.001668700016999</v>
      </c>
      <c r="F50">
        <v>43.987232000101301</v>
      </c>
      <c r="G50">
        <v>44.001668700016999</v>
      </c>
      <c r="H50">
        <v>44.502944600069803</v>
      </c>
      <c r="I50">
        <v>44.502944600069803</v>
      </c>
      <c r="J50">
        <v>44.502944600069803</v>
      </c>
      <c r="K50">
        <v>44.702949200058299</v>
      </c>
      <c r="L50" t="s">
        <v>25</v>
      </c>
      <c r="M50">
        <v>20</v>
      </c>
      <c r="N50" s="1">
        <v>0</v>
      </c>
      <c r="O50">
        <v>0</v>
      </c>
      <c r="P50">
        <v>0.18932050000876099</v>
      </c>
      <c r="R50">
        <v>44733</v>
      </c>
      <c r="S50">
        <v>1</v>
      </c>
      <c r="T50" t="s">
        <v>26</v>
      </c>
      <c r="U50" t="s">
        <v>27</v>
      </c>
      <c r="W50" t="s">
        <v>28</v>
      </c>
      <c r="X50">
        <v>60.584066743781101</v>
      </c>
      <c r="Y50" t="s">
        <v>29</v>
      </c>
    </row>
    <row r="51" spans="1:25" x14ac:dyDescent="0.3">
      <c r="A51">
        <v>49</v>
      </c>
      <c r="B51">
        <v>0.5</v>
      </c>
      <c r="C51">
        <v>20</v>
      </c>
      <c r="D51">
        <v>44.719362400006503</v>
      </c>
      <c r="F51">
        <v>44.703290900098999</v>
      </c>
      <c r="G51">
        <v>44.719362400006503</v>
      </c>
      <c r="H51">
        <v>45.202630900079299</v>
      </c>
      <c r="I51">
        <v>45.202630900079299</v>
      </c>
      <c r="J51">
        <v>45.219667000113901</v>
      </c>
      <c r="K51">
        <v>45.619772500009198</v>
      </c>
      <c r="L51" t="s">
        <v>25</v>
      </c>
      <c r="M51">
        <v>20</v>
      </c>
      <c r="N51" s="1">
        <v>1</v>
      </c>
      <c r="O51">
        <v>1</v>
      </c>
      <c r="P51">
        <v>0.41238470003008798</v>
      </c>
      <c r="Q51">
        <v>45.502429900108801</v>
      </c>
      <c r="R51">
        <v>44733</v>
      </c>
      <c r="S51">
        <v>1</v>
      </c>
      <c r="T51" t="s">
        <v>26</v>
      </c>
      <c r="U51" t="s">
        <v>27</v>
      </c>
      <c r="W51" t="s">
        <v>28</v>
      </c>
      <c r="X51">
        <v>60.584066743781101</v>
      </c>
      <c r="Y51" t="s">
        <v>29</v>
      </c>
    </row>
    <row r="52" spans="1:25" x14ac:dyDescent="0.3">
      <c r="A52">
        <v>50</v>
      </c>
      <c r="B52">
        <v>0.5</v>
      </c>
      <c r="C52">
        <v>20</v>
      </c>
      <c r="D52">
        <v>45.6356361000798</v>
      </c>
      <c r="F52">
        <v>45.620083400048301</v>
      </c>
      <c r="G52">
        <v>45.6356361000798</v>
      </c>
      <c r="H52">
        <v>46.119214000063899</v>
      </c>
      <c r="I52">
        <v>46.119214000063899</v>
      </c>
      <c r="J52">
        <v>46.135201100027103</v>
      </c>
      <c r="K52">
        <v>46.486854700022299</v>
      </c>
      <c r="L52" t="s">
        <v>25</v>
      </c>
      <c r="M52">
        <v>20</v>
      </c>
      <c r="N52">
        <v>0</v>
      </c>
      <c r="O52">
        <v>0</v>
      </c>
      <c r="P52">
        <v>0.36560869996901602</v>
      </c>
      <c r="Q52">
        <v>46.4193356001051</v>
      </c>
      <c r="R52">
        <v>44733</v>
      </c>
      <c r="S52">
        <v>1</v>
      </c>
      <c r="T52" t="s">
        <v>26</v>
      </c>
      <c r="U52" t="s">
        <v>27</v>
      </c>
      <c r="W52" t="s">
        <v>28</v>
      </c>
      <c r="X52">
        <v>60.584066743781101</v>
      </c>
      <c r="Y52" t="s">
        <v>29</v>
      </c>
    </row>
    <row r="53" spans="1:25" x14ac:dyDescent="0.3">
      <c r="A53">
        <v>51</v>
      </c>
      <c r="B53">
        <v>0.5</v>
      </c>
      <c r="C53">
        <v>20</v>
      </c>
      <c r="D53">
        <v>46.502376700052899</v>
      </c>
      <c r="F53">
        <v>46.4871868001064</v>
      </c>
      <c r="G53">
        <v>46.502376700052899</v>
      </c>
      <c r="H53">
        <v>47.002782800002002</v>
      </c>
      <c r="I53">
        <v>47.002782800002002</v>
      </c>
      <c r="J53">
        <v>47.002782800002002</v>
      </c>
      <c r="K53">
        <v>47.518944800016399</v>
      </c>
      <c r="L53" t="s">
        <v>30</v>
      </c>
      <c r="M53">
        <v>-20</v>
      </c>
      <c r="N53">
        <v>0</v>
      </c>
      <c r="O53">
        <v>0</v>
      </c>
      <c r="P53">
        <v>0.49977780005428901</v>
      </c>
      <c r="Q53">
        <v>47.317554400069596</v>
      </c>
      <c r="R53">
        <v>44733</v>
      </c>
      <c r="S53">
        <v>1</v>
      </c>
      <c r="T53" t="s">
        <v>26</v>
      </c>
      <c r="U53" t="s">
        <v>27</v>
      </c>
      <c r="W53" t="s">
        <v>28</v>
      </c>
      <c r="X53">
        <v>60.584066743781101</v>
      </c>
      <c r="Y53" t="s">
        <v>29</v>
      </c>
    </row>
    <row r="54" spans="1:25" x14ac:dyDescent="0.3">
      <c r="A54">
        <v>52</v>
      </c>
      <c r="B54">
        <v>0.5</v>
      </c>
      <c r="C54">
        <v>20</v>
      </c>
      <c r="D54">
        <v>47.535384400049203</v>
      </c>
      <c r="F54">
        <v>47.5191759000299</v>
      </c>
      <c r="G54">
        <v>47.535384400049203</v>
      </c>
      <c r="H54">
        <v>48.019628000096397</v>
      </c>
      <c r="I54">
        <v>48.019628000096397</v>
      </c>
      <c r="J54">
        <v>48.036134100053403</v>
      </c>
      <c r="K54">
        <v>48.502818700042504</v>
      </c>
      <c r="L54" t="s">
        <v>25</v>
      </c>
      <c r="M54">
        <v>20</v>
      </c>
      <c r="N54">
        <v>0</v>
      </c>
      <c r="O54">
        <v>0</v>
      </c>
      <c r="P54">
        <v>0.47966489999089301</v>
      </c>
      <c r="Q54">
        <v>48.319052400067399</v>
      </c>
      <c r="R54">
        <v>44733</v>
      </c>
      <c r="S54">
        <v>1</v>
      </c>
      <c r="T54" t="s">
        <v>26</v>
      </c>
      <c r="U54" t="s">
        <v>27</v>
      </c>
      <c r="W54" t="s">
        <v>28</v>
      </c>
      <c r="X54">
        <v>60.584066743781101</v>
      </c>
      <c r="Y54" t="s">
        <v>29</v>
      </c>
    </row>
    <row r="55" spans="1:25" x14ac:dyDescent="0.3">
      <c r="A55">
        <v>53</v>
      </c>
      <c r="B55">
        <v>0.5</v>
      </c>
      <c r="C55">
        <v>20</v>
      </c>
      <c r="D55">
        <v>48.519274300080703</v>
      </c>
      <c r="F55">
        <v>48.503129300079301</v>
      </c>
      <c r="G55">
        <v>48.519274300080703</v>
      </c>
      <c r="H55">
        <v>49.002918600104699</v>
      </c>
      <c r="I55">
        <v>49.002918600104699</v>
      </c>
      <c r="J55">
        <v>49.019157200003903</v>
      </c>
      <c r="K55">
        <v>49.383825700031501</v>
      </c>
      <c r="L55" t="s">
        <v>30</v>
      </c>
      <c r="M55">
        <v>-20</v>
      </c>
      <c r="N55" s="1">
        <v>0</v>
      </c>
      <c r="O55">
        <v>0</v>
      </c>
      <c r="P55">
        <v>0.36497840005904397</v>
      </c>
      <c r="Q55">
        <v>49.317448100075097</v>
      </c>
      <c r="R55">
        <v>44733</v>
      </c>
      <c r="S55">
        <v>1</v>
      </c>
      <c r="T55" t="s">
        <v>26</v>
      </c>
      <c r="U55" t="s">
        <v>27</v>
      </c>
      <c r="W55" t="s">
        <v>28</v>
      </c>
      <c r="X55">
        <v>60.584066743781101</v>
      </c>
      <c r="Y55" t="s">
        <v>29</v>
      </c>
    </row>
    <row r="56" spans="1:25" x14ac:dyDescent="0.3">
      <c r="A56">
        <v>54</v>
      </c>
      <c r="B56">
        <v>0.5</v>
      </c>
      <c r="C56">
        <v>20</v>
      </c>
      <c r="D56">
        <v>49.400246500037603</v>
      </c>
      <c r="F56">
        <v>49.383974600001203</v>
      </c>
      <c r="G56">
        <v>49.400246500037603</v>
      </c>
      <c r="H56">
        <v>49.885122300009201</v>
      </c>
      <c r="I56">
        <v>49.885122300009201</v>
      </c>
      <c r="J56">
        <v>49.902583900024098</v>
      </c>
      <c r="K56">
        <v>50.202658300055099</v>
      </c>
      <c r="L56" t="s">
        <v>25</v>
      </c>
      <c r="M56">
        <v>20</v>
      </c>
      <c r="N56" s="1">
        <v>1</v>
      </c>
      <c r="O56">
        <v>1</v>
      </c>
      <c r="P56">
        <v>0.31016459991224099</v>
      </c>
      <c r="Q56">
        <v>50.186023000045601</v>
      </c>
      <c r="R56">
        <v>44733</v>
      </c>
      <c r="S56">
        <v>1</v>
      </c>
      <c r="T56" t="s">
        <v>26</v>
      </c>
      <c r="U56" t="s">
        <v>27</v>
      </c>
      <c r="W56" t="s">
        <v>28</v>
      </c>
      <c r="X56">
        <v>60.584066743781101</v>
      </c>
      <c r="Y56" t="s">
        <v>29</v>
      </c>
    </row>
    <row r="57" spans="1:25" x14ac:dyDescent="0.3">
      <c r="A57">
        <v>55</v>
      </c>
      <c r="B57">
        <v>0.5</v>
      </c>
      <c r="C57">
        <v>20</v>
      </c>
      <c r="D57">
        <v>50.218662400031398</v>
      </c>
      <c r="F57">
        <v>50.2030022001126</v>
      </c>
      <c r="G57">
        <v>50.218662400031398</v>
      </c>
      <c r="H57">
        <v>50.702621700009303</v>
      </c>
      <c r="I57">
        <v>50.702621700009303</v>
      </c>
      <c r="J57">
        <v>50.718924300046602</v>
      </c>
      <c r="K57">
        <v>51.119739700108703</v>
      </c>
      <c r="L57" t="s">
        <v>25</v>
      </c>
      <c r="M57">
        <v>20</v>
      </c>
      <c r="N57">
        <v>1</v>
      </c>
      <c r="O57">
        <v>1</v>
      </c>
      <c r="P57">
        <v>0.40066219994332603</v>
      </c>
      <c r="Q57">
        <v>51.002750100102197</v>
      </c>
      <c r="R57">
        <v>44733</v>
      </c>
      <c r="S57">
        <v>1</v>
      </c>
      <c r="T57" t="s">
        <v>26</v>
      </c>
      <c r="U57" t="s">
        <v>27</v>
      </c>
      <c r="W57" t="s">
        <v>28</v>
      </c>
      <c r="X57">
        <v>60.584066743781101</v>
      </c>
      <c r="Y57" t="s">
        <v>29</v>
      </c>
    </row>
    <row r="58" spans="1:25" x14ac:dyDescent="0.3">
      <c r="A58">
        <v>56</v>
      </c>
      <c r="B58">
        <v>0.5</v>
      </c>
      <c r="C58">
        <v>20</v>
      </c>
      <c r="D58">
        <v>51.136027100030297</v>
      </c>
      <c r="F58">
        <v>51.120094100013297</v>
      </c>
      <c r="G58">
        <v>51.136027100030297</v>
      </c>
      <c r="H58">
        <v>51.619105600053402</v>
      </c>
      <c r="I58">
        <v>51.619105600053402</v>
      </c>
      <c r="J58">
        <v>51.636176300002198</v>
      </c>
      <c r="K58">
        <v>52.0367130000377</v>
      </c>
      <c r="L58" t="s">
        <v>25</v>
      </c>
      <c r="M58">
        <v>20</v>
      </c>
      <c r="N58" s="1">
        <v>0</v>
      </c>
      <c r="O58">
        <v>0</v>
      </c>
      <c r="P58">
        <v>0.41272249992471099</v>
      </c>
      <c r="Q58">
        <v>51.9189231001073</v>
      </c>
      <c r="R58">
        <v>44733</v>
      </c>
      <c r="S58">
        <v>1</v>
      </c>
      <c r="T58" t="s">
        <v>26</v>
      </c>
      <c r="U58" t="s">
        <v>27</v>
      </c>
      <c r="W58" t="s">
        <v>28</v>
      </c>
      <c r="X58">
        <v>60.584066743781101</v>
      </c>
      <c r="Y58" t="s">
        <v>29</v>
      </c>
    </row>
    <row r="59" spans="1:25" x14ac:dyDescent="0.3">
      <c r="A59">
        <v>57</v>
      </c>
      <c r="B59">
        <v>0.5</v>
      </c>
      <c r="C59">
        <v>20</v>
      </c>
      <c r="D59">
        <v>52.052462700055898</v>
      </c>
      <c r="F59">
        <v>52.037034400040199</v>
      </c>
      <c r="G59">
        <v>52.052462700055898</v>
      </c>
      <c r="H59">
        <v>52.535697000101202</v>
      </c>
      <c r="I59">
        <v>52.535697000101202</v>
      </c>
      <c r="J59">
        <v>52.552069000084799</v>
      </c>
      <c r="K59">
        <v>53.069785100058603</v>
      </c>
      <c r="L59" t="s">
        <v>30</v>
      </c>
      <c r="M59">
        <v>-20</v>
      </c>
      <c r="N59" s="1">
        <v>1</v>
      </c>
      <c r="O59">
        <v>1</v>
      </c>
      <c r="P59">
        <v>0.521744400030002</v>
      </c>
      <c r="Q59">
        <v>52.835527700022702</v>
      </c>
      <c r="R59">
        <v>44733</v>
      </c>
      <c r="S59">
        <v>1</v>
      </c>
      <c r="T59" t="s">
        <v>26</v>
      </c>
      <c r="U59" t="s">
        <v>27</v>
      </c>
      <c r="W59" t="s">
        <v>28</v>
      </c>
      <c r="X59">
        <v>60.584066743781101</v>
      </c>
      <c r="Y59" t="s">
        <v>29</v>
      </c>
    </row>
    <row r="60" spans="1:25" x14ac:dyDescent="0.3">
      <c r="A60">
        <v>58</v>
      </c>
      <c r="B60">
        <v>0.5</v>
      </c>
      <c r="C60">
        <v>20</v>
      </c>
      <c r="D60">
        <v>53.085852400050499</v>
      </c>
      <c r="F60">
        <v>53.070104100042897</v>
      </c>
      <c r="G60">
        <v>53.085852400050499</v>
      </c>
      <c r="H60">
        <v>53.569310800055902</v>
      </c>
      <c r="I60">
        <v>53.569310800055902</v>
      </c>
      <c r="J60">
        <v>53.585995300090801</v>
      </c>
      <c r="K60">
        <v>54.020164300105499</v>
      </c>
      <c r="L60" t="s">
        <v>30</v>
      </c>
      <c r="M60">
        <v>-20</v>
      </c>
      <c r="N60">
        <v>1</v>
      </c>
      <c r="O60">
        <v>1</v>
      </c>
      <c r="P60">
        <v>0.434966899920254</v>
      </c>
      <c r="Q60">
        <v>53.869283900014103</v>
      </c>
      <c r="R60">
        <v>44733</v>
      </c>
      <c r="S60">
        <v>1</v>
      </c>
      <c r="T60" t="s">
        <v>26</v>
      </c>
      <c r="U60" t="s">
        <v>27</v>
      </c>
      <c r="W60" t="s">
        <v>28</v>
      </c>
      <c r="X60">
        <v>60.584066743781101</v>
      </c>
      <c r="Y60" t="s">
        <v>29</v>
      </c>
    </row>
    <row r="61" spans="1:25" x14ac:dyDescent="0.3">
      <c r="A61">
        <v>59</v>
      </c>
      <c r="B61">
        <v>0.5</v>
      </c>
      <c r="C61">
        <v>20</v>
      </c>
      <c r="D61">
        <v>54.0359587999992</v>
      </c>
      <c r="F61">
        <v>54.020500500104298</v>
      </c>
      <c r="G61">
        <v>54.0359587999992</v>
      </c>
      <c r="H61">
        <v>54.5360445000696</v>
      </c>
      <c r="I61">
        <v>54.5360445000696</v>
      </c>
      <c r="J61">
        <v>54.5360445000696</v>
      </c>
      <c r="K61">
        <v>54.919371100026098</v>
      </c>
      <c r="L61" t="s">
        <v>25</v>
      </c>
      <c r="M61">
        <v>20</v>
      </c>
      <c r="N61" s="1">
        <v>0</v>
      </c>
      <c r="O61">
        <v>0</v>
      </c>
      <c r="P61">
        <v>0.370920500019565</v>
      </c>
      <c r="Q61">
        <v>54.835572700016201</v>
      </c>
      <c r="R61">
        <v>44733</v>
      </c>
      <c r="S61">
        <v>1</v>
      </c>
      <c r="T61" t="s">
        <v>26</v>
      </c>
      <c r="U61" t="s">
        <v>27</v>
      </c>
      <c r="W61" t="s">
        <v>28</v>
      </c>
      <c r="X61">
        <v>60.584066743781101</v>
      </c>
      <c r="Y61" t="s">
        <v>29</v>
      </c>
    </row>
    <row r="62" spans="1:25" x14ac:dyDescent="0.3">
      <c r="A62">
        <v>60</v>
      </c>
      <c r="B62">
        <v>0.5</v>
      </c>
      <c r="C62">
        <v>20</v>
      </c>
      <c r="D62">
        <v>54.935189000097999</v>
      </c>
      <c r="F62">
        <v>54.9197627000976</v>
      </c>
      <c r="G62">
        <v>54.935189000097999</v>
      </c>
      <c r="H62">
        <v>55.418996500084098</v>
      </c>
      <c r="I62">
        <v>55.418996500084098</v>
      </c>
      <c r="J62">
        <v>55.435595000046298</v>
      </c>
      <c r="K62">
        <v>55.836001300020101</v>
      </c>
      <c r="L62" t="s">
        <v>25</v>
      </c>
      <c r="M62">
        <v>20</v>
      </c>
      <c r="N62" s="1">
        <v>1</v>
      </c>
      <c r="O62">
        <v>1</v>
      </c>
      <c r="P62">
        <v>0.41256249998696098</v>
      </c>
      <c r="Q62">
        <v>55.719221400096998</v>
      </c>
      <c r="R62">
        <v>44733</v>
      </c>
      <c r="S62">
        <v>1</v>
      </c>
      <c r="T62" t="s">
        <v>26</v>
      </c>
      <c r="U62" t="s">
        <v>27</v>
      </c>
      <c r="W62" t="s">
        <v>28</v>
      </c>
      <c r="X62">
        <v>60.584066743781101</v>
      </c>
      <c r="Y62" t="s">
        <v>29</v>
      </c>
    </row>
    <row r="63" spans="1:25" x14ac:dyDescent="0.3">
      <c r="A63">
        <v>61</v>
      </c>
      <c r="B63">
        <v>0.5</v>
      </c>
      <c r="C63">
        <v>20</v>
      </c>
      <c r="D63">
        <v>55.852040500030803</v>
      </c>
      <c r="F63">
        <v>55.836383600020703</v>
      </c>
      <c r="G63">
        <v>55.852040500030803</v>
      </c>
      <c r="H63">
        <v>56.336275700013999</v>
      </c>
      <c r="I63">
        <v>56.336275700013999</v>
      </c>
      <c r="J63">
        <v>56.352064200094901</v>
      </c>
      <c r="K63">
        <v>56.536298800026998</v>
      </c>
      <c r="L63" t="s">
        <v>25</v>
      </c>
      <c r="M63">
        <v>20</v>
      </c>
      <c r="N63">
        <v>1</v>
      </c>
      <c r="O63">
        <v>1</v>
      </c>
      <c r="P63">
        <v>0.18528340000193499</v>
      </c>
      <c r="R63">
        <v>44733</v>
      </c>
      <c r="S63">
        <v>1</v>
      </c>
      <c r="T63" t="s">
        <v>26</v>
      </c>
      <c r="U63" t="s">
        <v>27</v>
      </c>
      <c r="W63" t="s">
        <v>28</v>
      </c>
      <c r="X63">
        <v>60.584066743781101</v>
      </c>
      <c r="Y63" t="s">
        <v>29</v>
      </c>
    </row>
    <row r="64" spans="1:25" x14ac:dyDescent="0.3">
      <c r="A64">
        <v>62</v>
      </c>
      <c r="B64">
        <v>0.5</v>
      </c>
      <c r="C64">
        <v>20</v>
      </c>
      <c r="D64">
        <v>56.552688000025199</v>
      </c>
      <c r="F64">
        <v>56.536622000043202</v>
      </c>
      <c r="G64">
        <v>56.552688000025199</v>
      </c>
      <c r="H64">
        <v>57.035907600074999</v>
      </c>
      <c r="I64">
        <v>57.035907600074999</v>
      </c>
      <c r="J64">
        <v>57.052746500005</v>
      </c>
      <c r="K64">
        <v>57.320070800022201</v>
      </c>
      <c r="L64" t="s">
        <v>25</v>
      </c>
      <c r="M64">
        <v>20</v>
      </c>
      <c r="N64" s="1">
        <v>0</v>
      </c>
      <c r="O64">
        <v>0</v>
      </c>
      <c r="P64">
        <v>0.27344489993993099</v>
      </c>
      <c r="Q64">
        <v>57.336057400097999</v>
      </c>
      <c r="R64">
        <v>44733</v>
      </c>
      <c r="S64">
        <v>1</v>
      </c>
      <c r="T64" t="s">
        <v>26</v>
      </c>
      <c r="U64" t="s">
        <v>27</v>
      </c>
      <c r="W64" t="s">
        <v>28</v>
      </c>
      <c r="X64">
        <v>60.584066743781101</v>
      </c>
      <c r="Y64" t="s">
        <v>29</v>
      </c>
    </row>
    <row r="65" spans="1:25" x14ac:dyDescent="0.3">
      <c r="A65">
        <v>63</v>
      </c>
      <c r="B65">
        <v>0.5</v>
      </c>
      <c r="C65">
        <v>20</v>
      </c>
      <c r="D65">
        <v>57.336057400097999</v>
      </c>
      <c r="F65">
        <v>57.320406300015698</v>
      </c>
      <c r="G65">
        <v>57.336057400097999</v>
      </c>
      <c r="H65">
        <v>57.81946160004</v>
      </c>
      <c r="I65">
        <v>57.81946160004</v>
      </c>
      <c r="J65">
        <v>57.836137600010197</v>
      </c>
      <c r="K65">
        <v>58.236878700088702</v>
      </c>
      <c r="L65" t="s">
        <v>25</v>
      </c>
      <c r="M65">
        <v>20</v>
      </c>
      <c r="N65" s="1">
        <v>1</v>
      </c>
      <c r="O65">
        <v>1</v>
      </c>
      <c r="P65">
        <v>0.41339609993156001</v>
      </c>
      <c r="Q65">
        <v>58.119090300053301</v>
      </c>
      <c r="R65">
        <v>44733</v>
      </c>
      <c r="S65">
        <v>1</v>
      </c>
      <c r="T65" t="s">
        <v>26</v>
      </c>
      <c r="U65" t="s">
        <v>27</v>
      </c>
      <c r="W65" t="s">
        <v>28</v>
      </c>
      <c r="X65">
        <v>60.584066743781101</v>
      </c>
      <c r="Y65" t="s">
        <v>29</v>
      </c>
    </row>
    <row r="66" spans="1:25" x14ac:dyDescent="0.3">
      <c r="A66">
        <v>64</v>
      </c>
      <c r="B66">
        <v>0.5</v>
      </c>
      <c r="C66">
        <v>20</v>
      </c>
      <c r="D66">
        <v>58.252673900104099</v>
      </c>
      <c r="F66">
        <v>58.2372546000406</v>
      </c>
      <c r="G66">
        <v>58.252673900104099</v>
      </c>
      <c r="H66">
        <v>58.752505500102401</v>
      </c>
      <c r="I66">
        <v>58.752505500102401</v>
      </c>
      <c r="J66">
        <v>58.752505500102401</v>
      </c>
      <c r="K66">
        <v>59.086018100031602</v>
      </c>
      <c r="L66" t="s">
        <v>30</v>
      </c>
      <c r="M66">
        <v>-20</v>
      </c>
      <c r="N66">
        <v>0</v>
      </c>
      <c r="O66">
        <v>0</v>
      </c>
      <c r="P66">
        <v>0.33262570004444503</v>
      </c>
      <c r="Q66">
        <v>59.052180600003297</v>
      </c>
      <c r="R66">
        <v>44733</v>
      </c>
      <c r="S66">
        <v>1</v>
      </c>
      <c r="T66" t="s">
        <v>26</v>
      </c>
      <c r="U66" t="s">
        <v>27</v>
      </c>
      <c r="W66" t="s">
        <v>28</v>
      </c>
      <c r="X66">
        <v>60.584066743781101</v>
      </c>
      <c r="Y66" t="s">
        <v>29</v>
      </c>
    </row>
    <row r="67" spans="1:25" x14ac:dyDescent="0.3">
      <c r="A67">
        <v>65</v>
      </c>
      <c r="B67">
        <v>0.5</v>
      </c>
      <c r="C67">
        <v>20</v>
      </c>
      <c r="D67">
        <v>59.102442500065003</v>
      </c>
      <c r="F67">
        <v>59.086352100013698</v>
      </c>
      <c r="G67">
        <v>59.102442500065003</v>
      </c>
      <c r="H67">
        <v>59.586316100088801</v>
      </c>
      <c r="I67">
        <v>59.586316100088801</v>
      </c>
      <c r="J67">
        <v>59.6024137000786</v>
      </c>
      <c r="K67">
        <v>60.086484500090499</v>
      </c>
      <c r="L67" t="s">
        <v>25</v>
      </c>
      <c r="M67">
        <v>20</v>
      </c>
      <c r="N67">
        <v>0</v>
      </c>
      <c r="O67">
        <v>0</v>
      </c>
      <c r="P67">
        <v>0.497041899943724</v>
      </c>
      <c r="Q67">
        <v>59.885386700043398</v>
      </c>
      <c r="R67">
        <v>44733</v>
      </c>
      <c r="S67">
        <v>1</v>
      </c>
      <c r="T67" t="s">
        <v>26</v>
      </c>
      <c r="U67" t="s">
        <v>27</v>
      </c>
      <c r="W67" t="s">
        <v>28</v>
      </c>
      <c r="X67">
        <v>60.584066743781101</v>
      </c>
      <c r="Y67" t="s">
        <v>29</v>
      </c>
    </row>
    <row r="68" spans="1:25" x14ac:dyDescent="0.3">
      <c r="A68">
        <v>66</v>
      </c>
      <c r="B68">
        <v>0.5</v>
      </c>
      <c r="C68">
        <v>20</v>
      </c>
      <c r="D68">
        <v>60.101839500013703</v>
      </c>
      <c r="F68">
        <v>60.086862000054602</v>
      </c>
      <c r="G68">
        <v>60.101839500013703</v>
      </c>
      <c r="H68">
        <v>60.585800100001499</v>
      </c>
      <c r="I68">
        <v>60.585800100001499</v>
      </c>
      <c r="J68">
        <v>60.602013800060298</v>
      </c>
      <c r="K68">
        <v>60.836045700008903</v>
      </c>
      <c r="L68" t="s">
        <v>30</v>
      </c>
      <c r="M68">
        <v>-20</v>
      </c>
      <c r="N68">
        <v>0</v>
      </c>
      <c r="O68">
        <v>0</v>
      </c>
      <c r="P68">
        <v>0.238378599984571</v>
      </c>
      <c r="R68">
        <v>44733</v>
      </c>
      <c r="S68">
        <v>1</v>
      </c>
      <c r="T68" t="s">
        <v>26</v>
      </c>
      <c r="U68" t="s">
        <v>27</v>
      </c>
      <c r="W68" t="s">
        <v>28</v>
      </c>
      <c r="X68">
        <v>60.584066743781101</v>
      </c>
      <c r="Y68" t="s">
        <v>29</v>
      </c>
    </row>
    <row r="69" spans="1:25" x14ac:dyDescent="0.3">
      <c r="A69">
        <v>67</v>
      </c>
      <c r="B69">
        <v>0.5</v>
      </c>
      <c r="C69">
        <v>20</v>
      </c>
      <c r="D69">
        <v>60.852172900107597</v>
      </c>
      <c r="F69">
        <v>60.836695400066603</v>
      </c>
      <c r="G69">
        <v>60.852172900107597</v>
      </c>
      <c r="H69">
        <v>61.335705600096802</v>
      </c>
      <c r="I69">
        <v>61.335705600096802</v>
      </c>
      <c r="J69">
        <v>61.352416900102902</v>
      </c>
      <c r="K69">
        <v>61.619901600060899</v>
      </c>
      <c r="L69" t="s">
        <v>30</v>
      </c>
      <c r="M69">
        <v>-20</v>
      </c>
      <c r="N69">
        <v>0</v>
      </c>
      <c r="O69">
        <v>0</v>
      </c>
      <c r="P69">
        <v>0.28326089994516201</v>
      </c>
      <c r="Q69">
        <v>61.635316900093997</v>
      </c>
      <c r="R69">
        <v>44733</v>
      </c>
      <c r="S69">
        <v>1</v>
      </c>
      <c r="T69" t="s">
        <v>26</v>
      </c>
      <c r="U69" t="s">
        <v>27</v>
      </c>
      <c r="W69" t="s">
        <v>28</v>
      </c>
      <c r="X69">
        <v>60.584066743781101</v>
      </c>
      <c r="Y69" t="s">
        <v>29</v>
      </c>
    </row>
    <row r="70" spans="1:25" x14ac:dyDescent="0.3">
      <c r="A70">
        <v>68</v>
      </c>
      <c r="B70">
        <v>0.5</v>
      </c>
      <c r="C70">
        <v>20</v>
      </c>
      <c r="D70">
        <v>61.635316900093997</v>
      </c>
      <c r="F70">
        <v>61.620204200036802</v>
      </c>
      <c r="G70">
        <v>61.635316900093997</v>
      </c>
      <c r="H70">
        <v>62.119714500033297</v>
      </c>
      <c r="I70">
        <v>62.119714500033297</v>
      </c>
      <c r="J70">
        <v>62.135878600063698</v>
      </c>
      <c r="K70">
        <v>62.353262600023299</v>
      </c>
      <c r="L70" t="s">
        <v>25</v>
      </c>
      <c r="M70">
        <v>20</v>
      </c>
      <c r="N70">
        <v>0</v>
      </c>
      <c r="O70">
        <v>0</v>
      </c>
      <c r="P70">
        <v>0.216400400036945</v>
      </c>
      <c r="R70">
        <v>44733</v>
      </c>
      <c r="S70">
        <v>1</v>
      </c>
      <c r="T70" t="s">
        <v>26</v>
      </c>
      <c r="U70" t="s">
        <v>27</v>
      </c>
      <c r="W70" t="s">
        <v>28</v>
      </c>
      <c r="X70">
        <v>60.584066743781101</v>
      </c>
      <c r="Y70" t="s">
        <v>29</v>
      </c>
    </row>
    <row r="71" spans="1:25" x14ac:dyDescent="0.3">
      <c r="A71">
        <v>69</v>
      </c>
      <c r="B71">
        <v>0.5</v>
      </c>
      <c r="C71">
        <v>20</v>
      </c>
      <c r="D71">
        <v>62.368867300101499</v>
      </c>
      <c r="F71">
        <v>62.353574500069897</v>
      </c>
      <c r="G71">
        <v>62.368867300101499</v>
      </c>
      <c r="H71">
        <v>62.852634600014397</v>
      </c>
      <c r="I71">
        <v>62.852634600014397</v>
      </c>
      <c r="J71">
        <v>62.869057000032598</v>
      </c>
      <c r="K71">
        <v>63.152856200002098</v>
      </c>
      <c r="L71" t="s">
        <v>25</v>
      </c>
      <c r="M71">
        <v>20</v>
      </c>
      <c r="N71" s="1">
        <v>0</v>
      </c>
      <c r="O71">
        <v>0</v>
      </c>
      <c r="P71">
        <v>0.288774100015871</v>
      </c>
      <c r="Q71">
        <v>63.152116000070201</v>
      </c>
      <c r="R71">
        <v>44733</v>
      </c>
      <c r="S71">
        <v>1</v>
      </c>
      <c r="T71" t="s">
        <v>26</v>
      </c>
      <c r="U71" t="s">
        <v>27</v>
      </c>
      <c r="W71" t="s">
        <v>28</v>
      </c>
      <c r="X71">
        <v>60.584066743781101</v>
      </c>
      <c r="Y71" t="s">
        <v>29</v>
      </c>
    </row>
    <row r="72" spans="1:25" x14ac:dyDescent="0.3">
      <c r="A72">
        <v>70</v>
      </c>
      <c r="B72">
        <v>0.5</v>
      </c>
      <c r="C72">
        <v>20</v>
      </c>
      <c r="D72">
        <v>63.168998800101598</v>
      </c>
      <c r="F72">
        <v>63.153170600067803</v>
      </c>
      <c r="G72">
        <v>63.168998800101598</v>
      </c>
      <c r="H72">
        <v>63.652876800042499</v>
      </c>
      <c r="I72">
        <v>63.652876800042499</v>
      </c>
      <c r="J72">
        <v>63.6693901000544</v>
      </c>
      <c r="K72">
        <v>63.8525280000176</v>
      </c>
      <c r="L72" t="s">
        <v>25</v>
      </c>
      <c r="M72">
        <v>20</v>
      </c>
      <c r="N72" s="1">
        <v>1</v>
      </c>
      <c r="O72">
        <v>1</v>
      </c>
      <c r="P72">
        <v>0.19363950006663799</v>
      </c>
      <c r="R72">
        <v>44733</v>
      </c>
      <c r="S72">
        <v>1</v>
      </c>
      <c r="T72" t="s">
        <v>26</v>
      </c>
      <c r="U72" t="s">
        <v>27</v>
      </c>
      <c r="W72" t="s">
        <v>28</v>
      </c>
      <c r="X72">
        <v>60.584066743781101</v>
      </c>
      <c r="Y72" t="s">
        <v>29</v>
      </c>
    </row>
    <row r="73" spans="1:25" x14ac:dyDescent="0.3">
      <c r="A73">
        <v>71</v>
      </c>
      <c r="B73">
        <v>0.5</v>
      </c>
      <c r="C73">
        <v>20</v>
      </c>
      <c r="D73">
        <v>63.868820000090601</v>
      </c>
      <c r="F73">
        <v>63.852862700004998</v>
      </c>
      <c r="G73">
        <v>63.868820000090601</v>
      </c>
      <c r="H73">
        <v>64.3527433000272</v>
      </c>
      <c r="I73">
        <v>64.3527433000272</v>
      </c>
      <c r="J73">
        <v>64.369378100032904</v>
      </c>
      <c r="K73">
        <v>64.685840700054499</v>
      </c>
      <c r="L73" t="s">
        <v>30</v>
      </c>
      <c r="M73">
        <v>-20</v>
      </c>
      <c r="N73" s="1">
        <v>0</v>
      </c>
      <c r="O73">
        <v>0</v>
      </c>
      <c r="P73">
        <v>0.32767280004918498</v>
      </c>
      <c r="Q73">
        <v>64.652160200057494</v>
      </c>
      <c r="R73">
        <v>44733</v>
      </c>
      <c r="S73">
        <v>1</v>
      </c>
      <c r="T73" t="s">
        <v>26</v>
      </c>
      <c r="U73" t="s">
        <v>27</v>
      </c>
      <c r="W73" t="s">
        <v>28</v>
      </c>
      <c r="X73">
        <v>60.584066743781101</v>
      </c>
      <c r="Y73" t="s">
        <v>29</v>
      </c>
    </row>
    <row r="74" spans="1:25" x14ac:dyDescent="0.3">
      <c r="A74">
        <v>72</v>
      </c>
      <c r="B74">
        <v>0.5</v>
      </c>
      <c r="C74">
        <v>20</v>
      </c>
      <c r="D74">
        <v>64.702188000082899</v>
      </c>
      <c r="F74">
        <v>64.686229500104602</v>
      </c>
      <c r="G74">
        <v>64.702188000082899</v>
      </c>
      <c r="H74">
        <v>65.185764800058607</v>
      </c>
      <c r="I74">
        <v>65.185764800058607</v>
      </c>
      <c r="J74">
        <v>65.2020651000784</v>
      </c>
      <c r="K74">
        <v>65.519903800101005</v>
      </c>
      <c r="L74" t="s">
        <v>30</v>
      </c>
      <c r="M74">
        <v>-20</v>
      </c>
      <c r="N74" s="1">
        <v>1</v>
      </c>
      <c r="O74">
        <v>1</v>
      </c>
      <c r="P74">
        <v>0.323048899997957</v>
      </c>
      <c r="Q74">
        <v>65.486353700049193</v>
      </c>
      <c r="R74">
        <v>44733</v>
      </c>
      <c r="S74">
        <v>1</v>
      </c>
      <c r="T74" t="s">
        <v>26</v>
      </c>
      <c r="U74" t="s">
        <v>27</v>
      </c>
      <c r="W74" t="s">
        <v>28</v>
      </c>
      <c r="X74">
        <v>60.584066743781101</v>
      </c>
      <c r="Y74" t="s">
        <v>29</v>
      </c>
    </row>
    <row r="75" spans="1:25" x14ac:dyDescent="0.3">
      <c r="A75">
        <v>73</v>
      </c>
      <c r="B75">
        <v>0.5</v>
      </c>
      <c r="C75">
        <v>20</v>
      </c>
      <c r="D75">
        <v>65.536052500014193</v>
      </c>
      <c r="F75">
        <v>65.520186800044002</v>
      </c>
      <c r="G75">
        <v>65.536052500014193</v>
      </c>
      <c r="H75">
        <v>66.035852100001605</v>
      </c>
      <c r="I75">
        <v>66.035852100001605</v>
      </c>
      <c r="J75">
        <v>66.035852100001605</v>
      </c>
      <c r="K75">
        <v>66.419705900014307</v>
      </c>
      <c r="L75" t="s">
        <v>25</v>
      </c>
      <c r="M75">
        <v>20</v>
      </c>
      <c r="N75" s="1">
        <v>0</v>
      </c>
      <c r="O75">
        <v>0</v>
      </c>
      <c r="P75">
        <v>0.37872919999062998</v>
      </c>
      <c r="Q75">
        <v>66.335375500027993</v>
      </c>
      <c r="R75">
        <v>44733</v>
      </c>
      <c r="S75">
        <v>1</v>
      </c>
      <c r="T75" t="s">
        <v>26</v>
      </c>
      <c r="U75" t="s">
        <v>27</v>
      </c>
      <c r="W75" t="s">
        <v>28</v>
      </c>
      <c r="X75">
        <v>60.584066743781101</v>
      </c>
      <c r="Y75" t="s">
        <v>29</v>
      </c>
    </row>
    <row r="76" spans="1:25" x14ac:dyDescent="0.3">
      <c r="A76">
        <v>74</v>
      </c>
      <c r="B76">
        <v>0.5</v>
      </c>
      <c r="C76">
        <v>20</v>
      </c>
      <c r="D76">
        <v>66.435636900016107</v>
      </c>
      <c r="F76">
        <v>66.419994000112595</v>
      </c>
      <c r="G76">
        <v>66.435636900016107</v>
      </c>
      <c r="H76">
        <v>66.919379600090906</v>
      </c>
      <c r="I76">
        <v>66.919379600090906</v>
      </c>
      <c r="J76">
        <v>66.935772500000894</v>
      </c>
      <c r="K76">
        <v>67.603345500072393</v>
      </c>
      <c r="L76" t="s">
        <v>25</v>
      </c>
      <c r="M76">
        <v>20</v>
      </c>
      <c r="N76" s="1">
        <v>1</v>
      </c>
      <c r="O76">
        <v>1</v>
      </c>
      <c r="P76">
        <v>0.68292029993608505</v>
      </c>
      <c r="Q76">
        <v>67.219322500051902</v>
      </c>
      <c r="R76">
        <v>44733</v>
      </c>
      <c r="S76">
        <v>1</v>
      </c>
      <c r="T76" t="s">
        <v>26</v>
      </c>
      <c r="U76" t="s">
        <v>27</v>
      </c>
      <c r="W76" t="s">
        <v>28</v>
      </c>
      <c r="X76">
        <v>60.584066743781101</v>
      </c>
      <c r="Y76" t="s">
        <v>29</v>
      </c>
    </row>
    <row r="77" spans="1:25" x14ac:dyDescent="0.3">
      <c r="A77">
        <v>75</v>
      </c>
      <c r="B77">
        <v>0.5</v>
      </c>
      <c r="C77">
        <v>20</v>
      </c>
      <c r="D77">
        <v>67.618902700021806</v>
      </c>
      <c r="F77">
        <v>67.603635100065702</v>
      </c>
      <c r="G77">
        <v>67.618902700021806</v>
      </c>
      <c r="H77">
        <v>68.119633700000094</v>
      </c>
      <c r="I77">
        <v>68.119633700000094</v>
      </c>
      <c r="J77">
        <v>68.119633700000094</v>
      </c>
      <c r="K77">
        <v>68.502537600113996</v>
      </c>
      <c r="L77" t="s">
        <v>30</v>
      </c>
      <c r="M77">
        <v>-20</v>
      </c>
      <c r="N77" s="1">
        <v>0</v>
      </c>
      <c r="O77">
        <v>0</v>
      </c>
      <c r="P77">
        <v>0.36640310008078802</v>
      </c>
      <c r="Q77">
        <v>68.4193758000619</v>
      </c>
      <c r="R77">
        <v>44733</v>
      </c>
      <c r="S77">
        <v>1</v>
      </c>
      <c r="T77" t="s">
        <v>26</v>
      </c>
      <c r="U77" t="s">
        <v>27</v>
      </c>
      <c r="W77" t="s">
        <v>28</v>
      </c>
      <c r="X77">
        <v>60.584066743781101</v>
      </c>
      <c r="Y77" t="s">
        <v>29</v>
      </c>
    </row>
    <row r="78" spans="1:25" x14ac:dyDescent="0.3">
      <c r="A78">
        <v>76</v>
      </c>
      <c r="B78">
        <v>0.5</v>
      </c>
      <c r="C78">
        <v>20</v>
      </c>
      <c r="D78">
        <v>68.518573700101101</v>
      </c>
      <c r="F78">
        <v>68.502933500101705</v>
      </c>
      <c r="G78">
        <v>68.518573700101101</v>
      </c>
      <c r="H78">
        <v>69.002873800112795</v>
      </c>
      <c r="I78">
        <v>69.002873800112795</v>
      </c>
      <c r="J78">
        <v>69.018762200023005</v>
      </c>
      <c r="K78">
        <v>69.703312300029197</v>
      </c>
      <c r="L78" t="s">
        <v>30</v>
      </c>
      <c r="M78">
        <v>-20</v>
      </c>
      <c r="N78" s="1">
        <v>1</v>
      </c>
      <c r="O78">
        <v>1</v>
      </c>
      <c r="P78">
        <v>0.697459599934518</v>
      </c>
      <c r="Q78">
        <v>69.302328300080205</v>
      </c>
      <c r="R78">
        <v>44733</v>
      </c>
      <c r="S78">
        <v>1</v>
      </c>
      <c r="T78" t="s">
        <v>26</v>
      </c>
      <c r="U78" t="s">
        <v>27</v>
      </c>
      <c r="W78" t="s">
        <v>28</v>
      </c>
      <c r="X78">
        <v>60.584066743781101</v>
      </c>
      <c r="Y78" t="s">
        <v>29</v>
      </c>
    </row>
    <row r="79" spans="1:25" x14ac:dyDescent="0.3">
      <c r="A79">
        <v>77</v>
      </c>
      <c r="B79">
        <v>0.5</v>
      </c>
      <c r="C79">
        <v>20</v>
      </c>
      <c r="D79">
        <v>69.719606099999496</v>
      </c>
      <c r="F79">
        <v>69.703668500063898</v>
      </c>
      <c r="G79">
        <v>69.719606099999496</v>
      </c>
      <c r="H79">
        <v>70.202502200030693</v>
      </c>
      <c r="I79">
        <v>70.202502200030693</v>
      </c>
      <c r="J79">
        <v>70.219304900034302</v>
      </c>
      <c r="K79">
        <v>70.403353500063503</v>
      </c>
      <c r="L79" t="s">
        <v>30</v>
      </c>
      <c r="M79">
        <v>-20</v>
      </c>
      <c r="N79">
        <v>0</v>
      </c>
      <c r="O79">
        <v>0</v>
      </c>
      <c r="P79">
        <v>0.191363099962472</v>
      </c>
      <c r="R79">
        <v>44733</v>
      </c>
      <c r="S79">
        <v>1</v>
      </c>
      <c r="T79" t="s">
        <v>26</v>
      </c>
      <c r="U79" t="s">
        <v>27</v>
      </c>
      <c r="W79" t="s">
        <v>28</v>
      </c>
      <c r="X79">
        <v>60.584066743781101</v>
      </c>
      <c r="Y79" t="s">
        <v>29</v>
      </c>
    </row>
    <row r="80" spans="1:25" x14ac:dyDescent="0.3">
      <c r="A80">
        <v>78</v>
      </c>
      <c r="B80">
        <v>0.5</v>
      </c>
      <c r="C80">
        <v>20</v>
      </c>
      <c r="D80">
        <v>70.419507300015496</v>
      </c>
      <c r="F80">
        <v>70.403803900000597</v>
      </c>
      <c r="G80">
        <v>70.419507300015496</v>
      </c>
      <c r="H80">
        <v>70.919276000000494</v>
      </c>
      <c r="I80">
        <v>70.919276000000494</v>
      </c>
      <c r="J80">
        <v>70.919276000000494</v>
      </c>
      <c r="K80">
        <v>71.486324000055902</v>
      </c>
      <c r="L80" t="s">
        <v>30</v>
      </c>
      <c r="M80">
        <v>-20</v>
      </c>
      <c r="N80" s="1">
        <v>0</v>
      </c>
      <c r="O80">
        <v>0</v>
      </c>
      <c r="P80">
        <v>0.55824669997673404</v>
      </c>
      <c r="Q80">
        <v>71.219215900055104</v>
      </c>
      <c r="R80">
        <v>44733</v>
      </c>
      <c r="S80">
        <v>1</v>
      </c>
      <c r="T80" t="s">
        <v>26</v>
      </c>
      <c r="U80" t="s">
        <v>27</v>
      </c>
      <c r="W80" t="s">
        <v>28</v>
      </c>
      <c r="X80">
        <v>60.584066743781101</v>
      </c>
      <c r="Y80" t="s">
        <v>29</v>
      </c>
    </row>
    <row r="81" spans="1:25" x14ac:dyDescent="0.3">
      <c r="A81">
        <v>79</v>
      </c>
      <c r="B81">
        <v>0.5</v>
      </c>
      <c r="C81">
        <v>20</v>
      </c>
      <c r="D81">
        <v>71.502228900091694</v>
      </c>
      <c r="F81">
        <v>71.486751800053696</v>
      </c>
      <c r="G81">
        <v>71.502228900091694</v>
      </c>
      <c r="H81">
        <v>72.002703500096601</v>
      </c>
      <c r="I81">
        <v>72.002703500096601</v>
      </c>
      <c r="J81">
        <v>72.002703500096601</v>
      </c>
      <c r="K81">
        <v>72.0198296000016</v>
      </c>
      <c r="L81" t="s">
        <v>30</v>
      </c>
      <c r="M81">
        <v>-20</v>
      </c>
      <c r="N81" s="1">
        <v>1</v>
      </c>
      <c r="O81">
        <v>1</v>
      </c>
      <c r="P81">
        <v>9.3567000003531506E-3</v>
      </c>
      <c r="R81">
        <v>44733</v>
      </c>
      <c r="S81">
        <v>1</v>
      </c>
      <c r="T81" t="s">
        <v>26</v>
      </c>
      <c r="U81" t="s">
        <v>27</v>
      </c>
      <c r="W81" t="s">
        <v>28</v>
      </c>
      <c r="X81">
        <v>60.584066743781101</v>
      </c>
      <c r="Y81" t="s">
        <v>29</v>
      </c>
    </row>
    <row r="82" spans="1:25" x14ac:dyDescent="0.3">
      <c r="A82">
        <v>80</v>
      </c>
      <c r="B82">
        <v>0.5</v>
      </c>
      <c r="C82">
        <v>20</v>
      </c>
      <c r="D82">
        <v>72.035984300076905</v>
      </c>
      <c r="F82">
        <v>72.020182600012006</v>
      </c>
      <c r="G82">
        <v>72.035984300076905</v>
      </c>
      <c r="H82">
        <v>72.519014700083005</v>
      </c>
      <c r="I82">
        <v>72.519014700083005</v>
      </c>
      <c r="J82">
        <v>72.535924900090293</v>
      </c>
      <c r="K82">
        <v>72.936571800033505</v>
      </c>
      <c r="L82" t="s">
        <v>25</v>
      </c>
      <c r="M82">
        <v>20</v>
      </c>
      <c r="N82">
        <v>1</v>
      </c>
      <c r="O82">
        <v>1</v>
      </c>
      <c r="P82">
        <v>0.40169229998718903</v>
      </c>
      <c r="Q82">
        <v>72.818543800036394</v>
      </c>
      <c r="R82">
        <v>44733</v>
      </c>
      <c r="S82">
        <v>1</v>
      </c>
      <c r="T82" t="s">
        <v>26</v>
      </c>
      <c r="U82" t="s">
        <v>27</v>
      </c>
      <c r="W82" t="s">
        <v>28</v>
      </c>
      <c r="X82">
        <v>60.584066743781101</v>
      </c>
      <c r="Y82" t="s">
        <v>29</v>
      </c>
    </row>
    <row r="83" spans="1:25" x14ac:dyDescent="0.3">
      <c r="A83">
        <v>81</v>
      </c>
      <c r="B83">
        <v>0.5</v>
      </c>
      <c r="C83">
        <v>20</v>
      </c>
      <c r="D83">
        <v>72.952627800055694</v>
      </c>
      <c r="F83">
        <v>72.936904800007994</v>
      </c>
      <c r="G83">
        <v>72.952627800055694</v>
      </c>
      <c r="H83">
        <v>73.452345800003897</v>
      </c>
      <c r="I83">
        <v>73.452345800003897</v>
      </c>
      <c r="J83">
        <v>73.452345800003897</v>
      </c>
      <c r="K83">
        <v>74.270029700011904</v>
      </c>
      <c r="L83" t="s">
        <v>25</v>
      </c>
      <c r="M83">
        <v>20</v>
      </c>
      <c r="N83">
        <v>1</v>
      </c>
      <c r="O83">
        <v>1</v>
      </c>
      <c r="P83">
        <v>0.81360249989666</v>
      </c>
      <c r="Q83">
        <v>73.752258800086494</v>
      </c>
      <c r="R83">
        <v>44733</v>
      </c>
      <c r="S83">
        <v>1</v>
      </c>
      <c r="T83" t="s">
        <v>26</v>
      </c>
      <c r="U83" t="s">
        <v>27</v>
      </c>
      <c r="W83" t="s">
        <v>28</v>
      </c>
      <c r="X83">
        <v>60.584066743781101</v>
      </c>
      <c r="Y83" t="s">
        <v>29</v>
      </c>
    </row>
    <row r="84" spans="1:25" x14ac:dyDescent="0.3">
      <c r="A84">
        <v>82</v>
      </c>
      <c r="B84">
        <v>0.5</v>
      </c>
      <c r="C84">
        <v>19.5</v>
      </c>
      <c r="D84">
        <v>74.285125400056103</v>
      </c>
      <c r="F84">
        <v>74.270407000090898</v>
      </c>
      <c r="G84">
        <v>74.285125400056103</v>
      </c>
      <c r="H84">
        <v>74.768717800034196</v>
      </c>
      <c r="I84">
        <v>74.768717800034196</v>
      </c>
      <c r="J84">
        <v>74.785839800024405</v>
      </c>
      <c r="K84">
        <v>75.020238100085393</v>
      </c>
      <c r="L84" t="s">
        <v>25</v>
      </c>
      <c r="M84">
        <v>19.5</v>
      </c>
      <c r="N84" s="1">
        <v>0</v>
      </c>
      <c r="O84">
        <v>0</v>
      </c>
      <c r="P84">
        <v>0.24861130001954701</v>
      </c>
      <c r="R84">
        <v>44733</v>
      </c>
      <c r="S84">
        <v>1</v>
      </c>
      <c r="T84" t="s">
        <v>26</v>
      </c>
      <c r="U84" t="s">
        <v>27</v>
      </c>
      <c r="W84" t="s">
        <v>28</v>
      </c>
      <c r="X84">
        <v>60.584066743781101</v>
      </c>
      <c r="Y84" t="s">
        <v>29</v>
      </c>
    </row>
    <row r="85" spans="1:25" x14ac:dyDescent="0.3">
      <c r="A85">
        <v>83</v>
      </c>
      <c r="B85">
        <v>0.5</v>
      </c>
      <c r="C85">
        <v>20</v>
      </c>
      <c r="D85">
        <v>75.035506600048393</v>
      </c>
      <c r="F85">
        <v>75.020574500085701</v>
      </c>
      <c r="G85">
        <v>75.035506600048393</v>
      </c>
      <c r="H85">
        <v>75.536058100056806</v>
      </c>
      <c r="I85">
        <v>75.536058100056806</v>
      </c>
      <c r="J85">
        <v>75.536058100056806</v>
      </c>
      <c r="K85">
        <v>75.969368000049101</v>
      </c>
      <c r="L85" t="s">
        <v>25</v>
      </c>
      <c r="M85">
        <v>20</v>
      </c>
      <c r="N85" s="1">
        <v>1</v>
      </c>
      <c r="O85">
        <v>1</v>
      </c>
      <c r="P85">
        <v>0.42314700002316302</v>
      </c>
      <c r="Q85">
        <v>75.835933300084406</v>
      </c>
      <c r="R85">
        <v>44733</v>
      </c>
      <c r="S85">
        <v>1</v>
      </c>
      <c r="T85" t="s">
        <v>26</v>
      </c>
      <c r="U85" t="s">
        <v>27</v>
      </c>
      <c r="W85" t="s">
        <v>28</v>
      </c>
      <c r="X85">
        <v>60.584066743781101</v>
      </c>
      <c r="Y85" t="s">
        <v>29</v>
      </c>
    </row>
    <row r="86" spans="1:25" x14ac:dyDescent="0.3">
      <c r="A86">
        <v>84</v>
      </c>
      <c r="B86">
        <v>0.5</v>
      </c>
      <c r="C86">
        <v>20</v>
      </c>
      <c r="D86">
        <v>75.985957900062203</v>
      </c>
      <c r="F86">
        <v>75.9696371000027</v>
      </c>
      <c r="G86">
        <v>75.985957900062203</v>
      </c>
      <c r="H86">
        <v>76.469160200096596</v>
      </c>
      <c r="I86">
        <v>76.469160200096596</v>
      </c>
      <c r="J86">
        <v>76.486033800057996</v>
      </c>
      <c r="K86">
        <v>76.703224500059093</v>
      </c>
      <c r="L86" t="s">
        <v>25</v>
      </c>
      <c r="M86">
        <v>20</v>
      </c>
      <c r="N86" s="1">
        <v>0</v>
      </c>
      <c r="O86">
        <v>0</v>
      </c>
      <c r="P86">
        <v>0.21866200002841599</v>
      </c>
      <c r="R86">
        <v>44733</v>
      </c>
      <c r="S86">
        <v>1</v>
      </c>
      <c r="T86" t="s">
        <v>26</v>
      </c>
      <c r="U86" t="s">
        <v>27</v>
      </c>
      <c r="W86" t="s">
        <v>28</v>
      </c>
      <c r="X86">
        <v>60.584066743781101</v>
      </c>
      <c r="Y86" t="s">
        <v>29</v>
      </c>
    </row>
    <row r="87" spans="1:25" x14ac:dyDescent="0.3">
      <c r="A87">
        <v>85</v>
      </c>
      <c r="B87">
        <v>0.5</v>
      </c>
      <c r="C87">
        <v>20</v>
      </c>
      <c r="D87">
        <v>76.7187686000252</v>
      </c>
      <c r="F87">
        <v>76.703513300046296</v>
      </c>
      <c r="G87">
        <v>76.7187686000252</v>
      </c>
      <c r="H87">
        <v>77.218538600020096</v>
      </c>
      <c r="I87">
        <v>77.218538600020096</v>
      </c>
      <c r="J87">
        <v>77.218538600020096</v>
      </c>
      <c r="K87">
        <v>78.285804300103294</v>
      </c>
      <c r="L87" t="s">
        <v>25</v>
      </c>
      <c r="M87">
        <v>20</v>
      </c>
      <c r="N87" s="1">
        <v>1</v>
      </c>
      <c r="O87">
        <v>1</v>
      </c>
      <c r="P87">
        <v>1.0575161000015201</v>
      </c>
      <c r="Q87">
        <v>77.520297600072794</v>
      </c>
      <c r="R87">
        <v>44733</v>
      </c>
      <c r="S87">
        <v>1</v>
      </c>
      <c r="T87" t="s">
        <v>26</v>
      </c>
      <c r="U87" t="s">
        <v>27</v>
      </c>
      <c r="W87" t="s">
        <v>28</v>
      </c>
      <c r="X87">
        <v>60.584066743781101</v>
      </c>
      <c r="Y87" t="s">
        <v>29</v>
      </c>
    </row>
    <row r="88" spans="1:25" x14ac:dyDescent="0.3">
      <c r="A88">
        <v>86</v>
      </c>
      <c r="B88">
        <v>0.5</v>
      </c>
      <c r="C88">
        <v>20</v>
      </c>
      <c r="D88">
        <v>78.301362700061802</v>
      </c>
      <c r="F88">
        <v>78.286100000026593</v>
      </c>
      <c r="G88">
        <v>78.301362700061802</v>
      </c>
      <c r="H88">
        <v>78.785664000082704</v>
      </c>
      <c r="I88">
        <v>78.785664000082704</v>
      </c>
      <c r="J88">
        <v>78.802367700030999</v>
      </c>
      <c r="K88">
        <v>78.919609100092202</v>
      </c>
      <c r="L88" t="s">
        <v>25</v>
      </c>
      <c r="M88">
        <v>20</v>
      </c>
      <c r="N88">
        <v>0</v>
      </c>
      <c r="O88">
        <v>0</v>
      </c>
      <c r="P88">
        <v>0.11984239995945201</v>
      </c>
      <c r="R88">
        <v>44733</v>
      </c>
      <c r="S88">
        <v>1</v>
      </c>
      <c r="T88" t="s">
        <v>26</v>
      </c>
      <c r="U88" t="s">
        <v>27</v>
      </c>
      <c r="W88" t="s">
        <v>28</v>
      </c>
      <c r="X88">
        <v>60.584066743781101</v>
      </c>
      <c r="Y88" t="s">
        <v>29</v>
      </c>
    </row>
    <row r="89" spans="1:25" x14ac:dyDescent="0.3">
      <c r="A89">
        <v>87</v>
      </c>
      <c r="B89">
        <v>0.5</v>
      </c>
      <c r="C89">
        <v>20</v>
      </c>
      <c r="D89">
        <v>78.935948600061195</v>
      </c>
      <c r="F89">
        <v>78.919945700094104</v>
      </c>
      <c r="G89">
        <v>78.935948600061195</v>
      </c>
      <c r="H89">
        <v>79.419271900085704</v>
      </c>
      <c r="I89">
        <v>79.419271900085704</v>
      </c>
      <c r="J89">
        <v>79.436059800093005</v>
      </c>
      <c r="K89">
        <v>80.086480400059301</v>
      </c>
      <c r="L89" t="s">
        <v>30</v>
      </c>
      <c r="M89">
        <v>-20</v>
      </c>
      <c r="N89" s="1">
        <v>0</v>
      </c>
      <c r="O89">
        <v>0</v>
      </c>
      <c r="P89">
        <v>0.65105459990445502</v>
      </c>
      <c r="Q89">
        <v>79.7190726000117</v>
      </c>
      <c r="R89">
        <v>44733</v>
      </c>
      <c r="S89">
        <v>1</v>
      </c>
      <c r="T89" t="s">
        <v>26</v>
      </c>
      <c r="U89" t="s">
        <v>27</v>
      </c>
      <c r="W89" t="s">
        <v>28</v>
      </c>
      <c r="X89">
        <v>60.584066743781101</v>
      </c>
      <c r="Y89" t="s">
        <v>29</v>
      </c>
    </row>
    <row r="90" spans="1:25" x14ac:dyDescent="0.3">
      <c r="A90">
        <v>88</v>
      </c>
      <c r="B90">
        <v>0.5</v>
      </c>
      <c r="C90">
        <v>20</v>
      </c>
      <c r="D90">
        <v>80.102730500046107</v>
      </c>
      <c r="F90">
        <v>80.086770300054894</v>
      </c>
      <c r="G90">
        <v>80.102730500046107</v>
      </c>
      <c r="H90">
        <v>80.602241400047205</v>
      </c>
      <c r="I90">
        <v>80.602241400047205</v>
      </c>
      <c r="J90">
        <v>80.602241400047205</v>
      </c>
      <c r="K90">
        <v>80.953313400037501</v>
      </c>
      <c r="L90" t="s">
        <v>30</v>
      </c>
      <c r="M90">
        <v>-20</v>
      </c>
      <c r="N90" s="1">
        <v>1</v>
      </c>
      <c r="O90">
        <v>1</v>
      </c>
      <c r="P90">
        <v>0.34082959999795998</v>
      </c>
      <c r="Q90">
        <v>80.902416400029296</v>
      </c>
      <c r="R90">
        <v>44733</v>
      </c>
      <c r="S90">
        <v>1</v>
      </c>
      <c r="T90" t="s">
        <v>26</v>
      </c>
      <c r="U90" t="s">
        <v>27</v>
      </c>
      <c r="W90" t="s">
        <v>28</v>
      </c>
      <c r="X90">
        <v>60.584066743781101</v>
      </c>
      <c r="Y90" t="s">
        <v>29</v>
      </c>
    </row>
    <row r="91" spans="1:25" x14ac:dyDescent="0.3">
      <c r="A91">
        <v>89</v>
      </c>
      <c r="B91">
        <v>0.5</v>
      </c>
      <c r="C91">
        <v>20</v>
      </c>
      <c r="D91">
        <v>80.969236700097099</v>
      </c>
      <c r="F91">
        <v>80.953605400049099</v>
      </c>
      <c r="G91">
        <v>80.969236700097099</v>
      </c>
      <c r="H91">
        <v>81.469044900033595</v>
      </c>
      <c r="I91">
        <v>81.469044900033595</v>
      </c>
      <c r="J91">
        <v>81.469044900033595</v>
      </c>
      <c r="K91">
        <v>82.236973000108193</v>
      </c>
      <c r="L91" t="s">
        <v>30</v>
      </c>
      <c r="M91">
        <v>-20</v>
      </c>
      <c r="N91" s="1">
        <v>0</v>
      </c>
      <c r="O91">
        <v>0</v>
      </c>
      <c r="P91">
        <v>0.76685090002138101</v>
      </c>
      <c r="Q91">
        <v>81.768599000060902</v>
      </c>
      <c r="R91">
        <v>44733</v>
      </c>
      <c r="S91">
        <v>1</v>
      </c>
      <c r="T91" t="s">
        <v>26</v>
      </c>
      <c r="U91" t="s">
        <v>27</v>
      </c>
      <c r="W91" t="s">
        <v>28</v>
      </c>
      <c r="X91">
        <v>60.584066743781101</v>
      </c>
      <c r="Y91" t="s">
        <v>29</v>
      </c>
    </row>
    <row r="92" spans="1:25" x14ac:dyDescent="0.3">
      <c r="A92">
        <v>90</v>
      </c>
      <c r="B92">
        <v>0.5</v>
      </c>
      <c r="C92">
        <v>20</v>
      </c>
      <c r="D92">
        <v>82.251909300102795</v>
      </c>
      <c r="F92">
        <v>82.237304400070499</v>
      </c>
      <c r="G92">
        <v>82.251909300102795</v>
      </c>
      <c r="H92">
        <v>82.752840300090597</v>
      </c>
      <c r="I92">
        <v>82.752840300090597</v>
      </c>
      <c r="J92">
        <v>82.752840300090597</v>
      </c>
      <c r="K92">
        <v>82.819352500024195</v>
      </c>
      <c r="L92" t="s">
        <v>30</v>
      </c>
      <c r="M92">
        <v>-20</v>
      </c>
      <c r="N92" s="1">
        <v>1</v>
      </c>
      <c r="O92">
        <v>1</v>
      </c>
      <c r="P92">
        <v>5.3381300065666402E-2</v>
      </c>
      <c r="R92">
        <v>44733</v>
      </c>
      <c r="S92">
        <v>1</v>
      </c>
      <c r="T92" t="s">
        <v>26</v>
      </c>
      <c r="U92" t="s">
        <v>27</v>
      </c>
      <c r="W92" t="s">
        <v>28</v>
      </c>
      <c r="X92">
        <v>60.584066743781101</v>
      </c>
      <c r="Y92" t="s">
        <v>29</v>
      </c>
    </row>
    <row r="93" spans="1:25" x14ac:dyDescent="0.3">
      <c r="A93">
        <v>91</v>
      </c>
      <c r="B93">
        <v>0.5</v>
      </c>
      <c r="C93">
        <v>20</v>
      </c>
      <c r="D93">
        <v>82.835788600030298</v>
      </c>
      <c r="F93">
        <v>82.819663500063996</v>
      </c>
      <c r="G93">
        <v>82.835788600030298</v>
      </c>
      <c r="H93">
        <v>83.318871700088494</v>
      </c>
      <c r="I93">
        <v>83.318871700088494</v>
      </c>
      <c r="J93">
        <v>83.335869000060399</v>
      </c>
      <c r="K93">
        <v>83.9360341000137</v>
      </c>
      <c r="L93" t="s">
        <v>25</v>
      </c>
      <c r="M93">
        <v>20</v>
      </c>
      <c r="N93">
        <v>0</v>
      </c>
      <c r="O93">
        <v>0</v>
      </c>
      <c r="P93">
        <v>0.60138350003398899</v>
      </c>
      <c r="Q93">
        <v>83.619198700063805</v>
      </c>
      <c r="R93">
        <v>44733</v>
      </c>
      <c r="S93">
        <v>1</v>
      </c>
      <c r="T93" t="s">
        <v>26</v>
      </c>
      <c r="U93" t="s">
        <v>27</v>
      </c>
      <c r="W93" t="s">
        <v>28</v>
      </c>
      <c r="X93">
        <v>60.584066743781101</v>
      </c>
      <c r="Y93" t="s">
        <v>29</v>
      </c>
    </row>
    <row r="94" spans="1:25" x14ac:dyDescent="0.3">
      <c r="A94">
        <v>92</v>
      </c>
      <c r="B94">
        <v>0.5</v>
      </c>
      <c r="C94">
        <v>20</v>
      </c>
      <c r="D94">
        <v>83.952395500033106</v>
      </c>
      <c r="F94">
        <v>83.936578600085298</v>
      </c>
      <c r="G94">
        <v>83.952395500033106</v>
      </c>
      <c r="H94">
        <v>84.436054100049603</v>
      </c>
      <c r="I94">
        <v>84.436054100049603</v>
      </c>
      <c r="J94">
        <v>84.452662400086396</v>
      </c>
      <c r="K94">
        <v>84.686114600044604</v>
      </c>
      <c r="L94" t="s">
        <v>30</v>
      </c>
      <c r="M94">
        <v>-20</v>
      </c>
      <c r="N94">
        <v>0</v>
      </c>
      <c r="O94">
        <v>0</v>
      </c>
      <c r="P94">
        <v>0.23656049999408399</v>
      </c>
      <c r="R94">
        <v>44733</v>
      </c>
      <c r="S94">
        <v>1</v>
      </c>
      <c r="T94" t="s">
        <v>26</v>
      </c>
      <c r="U94" t="s">
        <v>27</v>
      </c>
      <c r="W94" t="s">
        <v>28</v>
      </c>
      <c r="X94">
        <v>60.584066743781101</v>
      </c>
      <c r="Y94" t="s">
        <v>29</v>
      </c>
    </row>
    <row r="95" spans="1:25" x14ac:dyDescent="0.3">
      <c r="A95">
        <v>93</v>
      </c>
      <c r="B95">
        <v>0.5</v>
      </c>
      <c r="C95">
        <v>20</v>
      </c>
      <c r="D95">
        <v>84.702342000091406</v>
      </c>
      <c r="F95">
        <v>84.686583200003895</v>
      </c>
      <c r="G95">
        <v>84.702342000091406</v>
      </c>
      <c r="H95">
        <v>85.201840699999593</v>
      </c>
      <c r="I95">
        <v>85.201840699999593</v>
      </c>
      <c r="J95">
        <v>85.201840699999593</v>
      </c>
      <c r="K95">
        <v>85.286345600034096</v>
      </c>
      <c r="L95" t="s">
        <v>25</v>
      </c>
      <c r="M95">
        <v>20</v>
      </c>
      <c r="N95" s="1">
        <v>0</v>
      </c>
      <c r="O95">
        <v>0</v>
      </c>
      <c r="P95">
        <v>6.9625400006771004E-2</v>
      </c>
      <c r="R95">
        <v>44733</v>
      </c>
      <c r="S95">
        <v>1</v>
      </c>
      <c r="T95" t="s">
        <v>26</v>
      </c>
      <c r="U95" t="s">
        <v>27</v>
      </c>
      <c r="W95" t="s">
        <v>28</v>
      </c>
      <c r="X95">
        <v>60.584066743781101</v>
      </c>
      <c r="Y95" t="s">
        <v>29</v>
      </c>
    </row>
    <row r="96" spans="1:25" x14ac:dyDescent="0.3">
      <c r="A96">
        <v>94</v>
      </c>
      <c r="B96">
        <v>0.5</v>
      </c>
      <c r="C96">
        <v>20</v>
      </c>
      <c r="D96">
        <v>85.301905700005506</v>
      </c>
      <c r="F96">
        <v>85.286630800110203</v>
      </c>
      <c r="G96">
        <v>85.301905700005506</v>
      </c>
      <c r="H96">
        <v>85.785448200069297</v>
      </c>
      <c r="I96">
        <v>85.785448200069297</v>
      </c>
      <c r="J96">
        <v>85.802609800011794</v>
      </c>
      <c r="K96">
        <v>86.370186200016093</v>
      </c>
      <c r="L96" t="s">
        <v>25</v>
      </c>
      <c r="M96">
        <v>20</v>
      </c>
      <c r="N96" s="1">
        <v>1</v>
      </c>
      <c r="O96">
        <v>1</v>
      </c>
      <c r="P96">
        <v>0.58329420001246002</v>
      </c>
      <c r="Q96">
        <v>86.085956300026695</v>
      </c>
      <c r="R96">
        <v>44733</v>
      </c>
      <c r="S96">
        <v>1</v>
      </c>
      <c r="T96" t="s">
        <v>26</v>
      </c>
      <c r="U96" t="s">
        <v>27</v>
      </c>
      <c r="W96" t="s">
        <v>28</v>
      </c>
      <c r="X96">
        <v>60.584066743781101</v>
      </c>
      <c r="Y96" t="s">
        <v>29</v>
      </c>
    </row>
    <row r="97" spans="1:25" x14ac:dyDescent="0.3">
      <c r="A97">
        <v>95</v>
      </c>
      <c r="B97">
        <v>0.5</v>
      </c>
      <c r="C97">
        <v>20</v>
      </c>
      <c r="D97">
        <v>86.385764000006006</v>
      </c>
      <c r="F97">
        <v>86.370478100026901</v>
      </c>
      <c r="G97">
        <v>86.385764000006006</v>
      </c>
      <c r="H97">
        <v>86.886044900049399</v>
      </c>
      <c r="I97">
        <v>86.886044900049399</v>
      </c>
      <c r="J97">
        <v>86.886044900049399</v>
      </c>
      <c r="K97">
        <v>87.502710100030498</v>
      </c>
      <c r="L97" t="s">
        <v>25</v>
      </c>
      <c r="M97">
        <v>20</v>
      </c>
      <c r="N97">
        <v>0</v>
      </c>
      <c r="O97">
        <v>0</v>
      </c>
      <c r="P97">
        <v>0.60100090003106699</v>
      </c>
      <c r="Q97">
        <v>87.185673800064194</v>
      </c>
      <c r="R97">
        <v>44733</v>
      </c>
      <c r="S97">
        <v>1</v>
      </c>
      <c r="T97" t="s">
        <v>26</v>
      </c>
      <c r="U97" t="s">
        <v>27</v>
      </c>
      <c r="W97" t="s">
        <v>28</v>
      </c>
      <c r="X97">
        <v>60.584066743781101</v>
      </c>
      <c r="Y97" t="s">
        <v>29</v>
      </c>
    </row>
    <row r="98" spans="1:25" x14ac:dyDescent="0.3">
      <c r="A98">
        <v>96</v>
      </c>
      <c r="B98">
        <v>0.5</v>
      </c>
      <c r="C98">
        <v>20</v>
      </c>
      <c r="D98">
        <v>87.518759600003193</v>
      </c>
      <c r="F98">
        <v>87.503049000049899</v>
      </c>
      <c r="G98">
        <v>87.518759600003193</v>
      </c>
      <c r="H98">
        <v>88.0026148000033</v>
      </c>
      <c r="I98">
        <v>88.0026148000033</v>
      </c>
      <c r="J98">
        <v>88.018537400057497</v>
      </c>
      <c r="K98">
        <v>90.752390800043898</v>
      </c>
      <c r="L98" t="s">
        <v>25</v>
      </c>
      <c r="M98">
        <v>20</v>
      </c>
      <c r="N98" s="1">
        <v>0</v>
      </c>
      <c r="O98">
        <v>0</v>
      </c>
      <c r="P98">
        <v>2.7341553000733199</v>
      </c>
      <c r="Q98">
        <v>88.302297100075506</v>
      </c>
      <c r="R98">
        <v>44733</v>
      </c>
      <c r="S98">
        <v>1</v>
      </c>
      <c r="T98" t="s">
        <v>26</v>
      </c>
      <c r="U98" t="s">
        <v>27</v>
      </c>
      <c r="W98" t="s">
        <v>28</v>
      </c>
      <c r="X98">
        <v>60.584066743781101</v>
      </c>
      <c r="Y98" t="s">
        <v>29</v>
      </c>
    </row>
    <row r="99" spans="1:25" x14ac:dyDescent="0.3">
      <c r="A99">
        <v>97</v>
      </c>
      <c r="B99">
        <v>0.5</v>
      </c>
      <c r="C99">
        <v>20</v>
      </c>
      <c r="D99">
        <v>90.7679823000216</v>
      </c>
      <c r="F99">
        <v>90.752704700105795</v>
      </c>
      <c r="G99">
        <v>90.7679823000216</v>
      </c>
      <c r="H99">
        <v>91.252514500054502</v>
      </c>
      <c r="I99">
        <v>91.252514500054502</v>
      </c>
      <c r="J99">
        <v>91.2693774000508</v>
      </c>
      <c r="K99">
        <v>91.453068000031607</v>
      </c>
      <c r="L99" t="s">
        <v>25</v>
      </c>
      <c r="M99">
        <v>20</v>
      </c>
      <c r="N99" s="1">
        <v>1</v>
      </c>
      <c r="O99">
        <v>1</v>
      </c>
      <c r="P99">
        <v>0.19770339992828601</v>
      </c>
      <c r="R99">
        <v>44733</v>
      </c>
      <c r="S99">
        <v>1</v>
      </c>
      <c r="T99" t="s">
        <v>26</v>
      </c>
      <c r="U99" t="s">
        <v>27</v>
      </c>
      <c r="W99" t="s">
        <v>28</v>
      </c>
      <c r="X99">
        <v>60.584066743781101</v>
      </c>
      <c r="Y99" t="s">
        <v>29</v>
      </c>
    </row>
    <row r="100" spans="1:25" x14ac:dyDescent="0.3">
      <c r="A100">
        <v>98</v>
      </c>
      <c r="B100">
        <v>0.5</v>
      </c>
      <c r="C100">
        <v>20</v>
      </c>
      <c r="D100">
        <v>91.468719100113901</v>
      </c>
      <c r="F100">
        <v>91.453381200088103</v>
      </c>
      <c r="G100">
        <v>91.468719100113901</v>
      </c>
      <c r="H100">
        <v>91.952712099999104</v>
      </c>
      <c r="I100">
        <v>91.952712099999104</v>
      </c>
      <c r="J100">
        <v>91.969366600038398</v>
      </c>
      <c r="K100">
        <v>92.736578600015406</v>
      </c>
      <c r="L100" t="s">
        <v>25</v>
      </c>
      <c r="M100">
        <v>20</v>
      </c>
      <c r="N100" s="1">
        <v>0</v>
      </c>
      <c r="O100">
        <v>0</v>
      </c>
      <c r="P100">
        <v>0.78107150003779602</v>
      </c>
      <c r="Q100">
        <v>92.252615700010196</v>
      </c>
      <c r="R100">
        <v>44733</v>
      </c>
      <c r="S100">
        <v>1</v>
      </c>
      <c r="T100" t="s">
        <v>26</v>
      </c>
      <c r="U100" t="s">
        <v>27</v>
      </c>
      <c r="W100" t="s">
        <v>28</v>
      </c>
      <c r="X100">
        <v>60.584066743781101</v>
      </c>
      <c r="Y100" t="s">
        <v>29</v>
      </c>
    </row>
    <row r="101" spans="1:25" x14ac:dyDescent="0.3">
      <c r="A101">
        <v>99</v>
      </c>
      <c r="B101">
        <v>0.5</v>
      </c>
      <c r="C101">
        <v>20</v>
      </c>
      <c r="D101">
        <v>92.752350800088607</v>
      </c>
      <c r="F101">
        <v>92.736872300039906</v>
      </c>
      <c r="G101">
        <v>92.752350800088607</v>
      </c>
      <c r="H101">
        <v>93.252477800007895</v>
      </c>
      <c r="I101">
        <v>93.252477800007895</v>
      </c>
      <c r="J101">
        <v>93.252477800007895</v>
      </c>
      <c r="K101">
        <v>93.486165100010098</v>
      </c>
      <c r="L101" t="s">
        <v>25</v>
      </c>
      <c r="M101">
        <v>20</v>
      </c>
      <c r="N101" s="1">
        <v>1</v>
      </c>
      <c r="O101">
        <v>1</v>
      </c>
      <c r="P101">
        <v>0.228527799947187</v>
      </c>
      <c r="R101">
        <v>44733</v>
      </c>
      <c r="S101">
        <v>1</v>
      </c>
      <c r="T101" t="s">
        <v>26</v>
      </c>
      <c r="U101" t="s">
        <v>27</v>
      </c>
      <c r="W101" t="s">
        <v>28</v>
      </c>
      <c r="X101">
        <v>60.584066743781101</v>
      </c>
      <c r="Y101" t="s">
        <v>29</v>
      </c>
    </row>
    <row r="103" spans="1:25" ht="15.6" x14ac:dyDescent="0.3">
      <c r="M103" s="3" t="s">
        <v>31</v>
      </c>
      <c r="N103" s="3" t="s">
        <v>33</v>
      </c>
    </row>
    <row r="104" spans="1:25" x14ac:dyDescent="0.3">
      <c r="M104">
        <v>20</v>
      </c>
      <c r="N104">
        <f>AVERAGE(M104:M108)</f>
        <v>20</v>
      </c>
    </row>
    <row r="105" spans="1:25" x14ac:dyDescent="0.3">
      <c r="M105">
        <v>20</v>
      </c>
    </row>
    <row r="106" spans="1:25" x14ac:dyDescent="0.3">
      <c r="M106">
        <v>20</v>
      </c>
    </row>
    <row r="107" spans="1:25" x14ac:dyDescent="0.3">
      <c r="M107">
        <v>20</v>
      </c>
    </row>
    <row r="108" spans="1:25" x14ac:dyDescent="0.3">
      <c r="M108">
        <v>20</v>
      </c>
    </row>
    <row r="109" spans="1:25" x14ac:dyDescent="0.3">
      <c r="M109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076E-5EA0-4B40-B9B2-A990CF5037FF}">
  <dimension ref="A1:C102"/>
  <sheetViews>
    <sheetView workbookViewId="0">
      <selection activeCell="C9" sqref="C9"/>
    </sheetView>
  </sheetViews>
  <sheetFormatPr defaultRowHeight="14.4" x14ac:dyDescent="0.3"/>
  <cols>
    <col min="1" max="1" width="17.88671875" customWidth="1"/>
    <col min="3" max="3" width="19.109375" customWidth="1"/>
  </cols>
  <sheetData>
    <row r="1" spans="1:3" x14ac:dyDescent="0.3">
      <c r="A1" t="s">
        <v>13</v>
      </c>
    </row>
    <row r="2" spans="1:3" x14ac:dyDescent="0.3">
      <c r="A2" s="1">
        <v>0</v>
      </c>
    </row>
    <row r="3" spans="1:3" x14ac:dyDescent="0.3">
      <c r="A3" s="1">
        <v>0</v>
      </c>
    </row>
    <row r="4" spans="1:3" x14ac:dyDescent="0.3">
      <c r="A4" s="1">
        <v>0</v>
      </c>
      <c r="C4" t="s">
        <v>32</v>
      </c>
    </row>
    <row r="5" spans="1:3" x14ac:dyDescent="0.3">
      <c r="A5">
        <v>0</v>
      </c>
      <c r="C5">
        <f>SUM(A55:A101)</f>
        <v>47</v>
      </c>
    </row>
    <row r="6" spans="1:3" x14ac:dyDescent="0.3">
      <c r="A6" s="1">
        <v>0</v>
      </c>
      <c r="C6">
        <f>C5/100*100</f>
        <v>47</v>
      </c>
    </row>
    <row r="7" spans="1:3" x14ac:dyDescent="0.3">
      <c r="A7">
        <v>0</v>
      </c>
    </row>
    <row r="8" spans="1:3" x14ac:dyDescent="0.3">
      <c r="A8" s="1">
        <v>0</v>
      </c>
    </row>
    <row r="9" spans="1:3" x14ac:dyDescent="0.3">
      <c r="A9">
        <v>0</v>
      </c>
    </row>
    <row r="10" spans="1:3" x14ac:dyDescent="0.3">
      <c r="A10">
        <v>0</v>
      </c>
    </row>
    <row r="11" spans="1:3" x14ac:dyDescent="0.3">
      <c r="A11" s="1">
        <v>0</v>
      </c>
    </row>
    <row r="12" spans="1:3" x14ac:dyDescent="0.3">
      <c r="A12" s="1">
        <v>0</v>
      </c>
    </row>
    <row r="13" spans="1:3" x14ac:dyDescent="0.3">
      <c r="A13" s="1">
        <v>0</v>
      </c>
    </row>
    <row r="14" spans="1:3" x14ac:dyDescent="0.3">
      <c r="A14" s="1">
        <v>0</v>
      </c>
    </row>
    <row r="15" spans="1:3" x14ac:dyDescent="0.3">
      <c r="A15">
        <v>0</v>
      </c>
    </row>
    <row r="16" spans="1:3" x14ac:dyDescent="0.3">
      <c r="A16" s="1">
        <v>0</v>
      </c>
    </row>
    <row r="17" spans="1:1" x14ac:dyDescent="0.3">
      <c r="A17" s="1">
        <v>0</v>
      </c>
    </row>
    <row r="18" spans="1:1" x14ac:dyDescent="0.3">
      <c r="A18">
        <v>0</v>
      </c>
    </row>
    <row r="19" spans="1:1" x14ac:dyDescent="0.3">
      <c r="A19">
        <v>0</v>
      </c>
    </row>
    <row r="20" spans="1:1" x14ac:dyDescent="0.3">
      <c r="A20" s="1">
        <v>0</v>
      </c>
    </row>
    <row r="21" spans="1:1" x14ac:dyDescent="0.3">
      <c r="A21" s="1">
        <v>0</v>
      </c>
    </row>
    <row r="22" spans="1:1" x14ac:dyDescent="0.3">
      <c r="A22">
        <v>0</v>
      </c>
    </row>
    <row r="23" spans="1:1" x14ac:dyDescent="0.3">
      <c r="A23">
        <v>0</v>
      </c>
    </row>
    <row r="24" spans="1:1" x14ac:dyDescent="0.3">
      <c r="A24" s="1">
        <v>0</v>
      </c>
    </row>
    <row r="25" spans="1:1" x14ac:dyDescent="0.3">
      <c r="A25" s="1">
        <v>0</v>
      </c>
    </row>
    <row r="26" spans="1:1" x14ac:dyDescent="0.3">
      <c r="A26">
        <v>0</v>
      </c>
    </row>
    <row r="27" spans="1:1" x14ac:dyDescent="0.3">
      <c r="A27">
        <v>0</v>
      </c>
    </row>
    <row r="28" spans="1:1" x14ac:dyDescent="0.3">
      <c r="A28">
        <v>0</v>
      </c>
    </row>
    <row r="29" spans="1:1" x14ac:dyDescent="0.3">
      <c r="A29" s="1">
        <v>0</v>
      </c>
    </row>
    <row r="30" spans="1:1" x14ac:dyDescent="0.3">
      <c r="A30" s="1">
        <v>0</v>
      </c>
    </row>
    <row r="31" spans="1:1" x14ac:dyDescent="0.3">
      <c r="A31" s="1">
        <v>0</v>
      </c>
    </row>
    <row r="32" spans="1:1" x14ac:dyDescent="0.3">
      <c r="A32" s="1">
        <v>0</v>
      </c>
    </row>
    <row r="33" spans="1:1" x14ac:dyDescent="0.3">
      <c r="A33">
        <v>0</v>
      </c>
    </row>
    <row r="34" spans="1:1" x14ac:dyDescent="0.3">
      <c r="A34">
        <v>0</v>
      </c>
    </row>
    <row r="35" spans="1:1" x14ac:dyDescent="0.3">
      <c r="A35">
        <v>0</v>
      </c>
    </row>
    <row r="36" spans="1:1" x14ac:dyDescent="0.3">
      <c r="A36">
        <v>0</v>
      </c>
    </row>
    <row r="37" spans="1:1" x14ac:dyDescent="0.3">
      <c r="A37">
        <v>0</v>
      </c>
    </row>
    <row r="38" spans="1:1" x14ac:dyDescent="0.3">
      <c r="A38" s="1">
        <v>0</v>
      </c>
    </row>
    <row r="39" spans="1:1" x14ac:dyDescent="0.3">
      <c r="A39" s="1">
        <v>0</v>
      </c>
    </row>
    <row r="40" spans="1:1" x14ac:dyDescent="0.3">
      <c r="A40" s="1">
        <v>0</v>
      </c>
    </row>
    <row r="41" spans="1:1" x14ac:dyDescent="0.3">
      <c r="A41" s="1">
        <v>0</v>
      </c>
    </row>
    <row r="42" spans="1:1" x14ac:dyDescent="0.3">
      <c r="A42">
        <v>0</v>
      </c>
    </row>
    <row r="43" spans="1:1" x14ac:dyDescent="0.3">
      <c r="A43" s="1">
        <v>0</v>
      </c>
    </row>
    <row r="44" spans="1:1" x14ac:dyDescent="0.3">
      <c r="A44" s="1">
        <v>0</v>
      </c>
    </row>
    <row r="45" spans="1:1" x14ac:dyDescent="0.3">
      <c r="A45" s="1">
        <v>0</v>
      </c>
    </row>
    <row r="46" spans="1:1" x14ac:dyDescent="0.3">
      <c r="A46">
        <v>0</v>
      </c>
    </row>
    <row r="47" spans="1:1" x14ac:dyDescent="0.3">
      <c r="A47" s="1">
        <v>0</v>
      </c>
    </row>
    <row r="48" spans="1:1" x14ac:dyDescent="0.3">
      <c r="A48" s="1">
        <v>0</v>
      </c>
    </row>
    <row r="49" spans="1:1" x14ac:dyDescent="0.3">
      <c r="A49">
        <v>0</v>
      </c>
    </row>
    <row r="50" spans="1:1" x14ac:dyDescent="0.3">
      <c r="A50">
        <v>0</v>
      </c>
    </row>
    <row r="51" spans="1:1" x14ac:dyDescent="0.3">
      <c r="A51" s="1">
        <v>0</v>
      </c>
    </row>
    <row r="52" spans="1:1" x14ac:dyDescent="0.3">
      <c r="A52">
        <v>0</v>
      </c>
    </row>
    <row r="53" spans="1:1" x14ac:dyDescent="0.3">
      <c r="A53" s="1">
        <v>0</v>
      </c>
    </row>
    <row r="54" spans="1:1" x14ac:dyDescent="0.3">
      <c r="A54" s="1">
        <v>0</v>
      </c>
    </row>
    <row r="55" spans="1:1" x14ac:dyDescent="0.3">
      <c r="A55" s="1">
        <v>1</v>
      </c>
    </row>
    <row r="56" spans="1:1" x14ac:dyDescent="0.3">
      <c r="A56" s="1">
        <v>1</v>
      </c>
    </row>
    <row r="57" spans="1:1" x14ac:dyDescent="0.3">
      <c r="A57" s="1">
        <v>1</v>
      </c>
    </row>
    <row r="58" spans="1:1" x14ac:dyDescent="0.3">
      <c r="A58" s="1">
        <v>1</v>
      </c>
    </row>
    <row r="59" spans="1:1" x14ac:dyDescent="0.3">
      <c r="A59">
        <v>1</v>
      </c>
    </row>
    <row r="60" spans="1:1" x14ac:dyDescent="0.3">
      <c r="A60">
        <v>1</v>
      </c>
    </row>
    <row r="61" spans="1:1" x14ac:dyDescent="0.3">
      <c r="A61">
        <v>1</v>
      </c>
    </row>
    <row r="62" spans="1:1" x14ac:dyDescent="0.3">
      <c r="A62">
        <v>1</v>
      </c>
    </row>
    <row r="63" spans="1:1" x14ac:dyDescent="0.3">
      <c r="A63" s="1">
        <v>1</v>
      </c>
    </row>
    <row r="64" spans="1:1" x14ac:dyDescent="0.3">
      <c r="A64">
        <v>1</v>
      </c>
    </row>
    <row r="65" spans="1:1" x14ac:dyDescent="0.3">
      <c r="A65" s="1">
        <v>1</v>
      </c>
    </row>
    <row r="66" spans="1:1" x14ac:dyDescent="0.3">
      <c r="A66" s="1">
        <v>1</v>
      </c>
    </row>
    <row r="67" spans="1:1" x14ac:dyDescent="0.3">
      <c r="A67" s="1">
        <v>1</v>
      </c>
    </row>
    <row r="68" spans="1:1" x14ac:dyDescent="0.3">
      <c r="A68" s="1">
        <v>1</v>
      </c>
    </row>
    <row r="69" spans="1:1" x14ac:dyDescent="0.3">
      <c r="A69">
        <v>1</v>
      </c>
    </row>
    <row r="70" spans="1:1" x14ac:dyDescent="0.3">
      <c r="A70">
        <v>1</v>
      </c>
    </row>
    <row r="71" spans="1:1" x14ac:dyDescent="0.3">
      <c r="A71" s="1">
        <v>1</v>
      </c>
    </row>
    <row r="72" spans="1:1" x14ac:dyDescent="0.3">
      <c r="A72" s="1">
        <v>1</v>
      </c>
    </row>
    <row r="73" spans="1:1" x14ac:dyDescent="0.3">
      <c r="A73">
        <v>1</v>
      </c>
    </row>
    <row r="74" spans="1:1" x14ac:dyDescent="0.3">
      <c r="A74" s="1">
        <v>1</v>
      </c>
    </row>
    <row r="75" spans="1:1" x14ac:dyDescent="0.3">
      <c r="A75" s="1">
        <v>1</v>
      </c>
    </row>
    <row r="76" spans="1:1" x14ac:dyDescent="0.3">
      <c r="A76">
        <v>1</v>
      </c>
    </row>
    <row r="77" spans="1:1" x14ac:dyDescent="0.3">
      <c r="A77">
        <v>1</v>
      </c>
    </row>
    <row r="78" spans="1:1" x14ac:dyDescent="0.3">
      <c r="A78">
        <v>1</v>
      </c>
    </row>
    <row r="79" spans="1:1" x14ac:dyDescent="0.3">
      <c r="A79" s="1">
        <v>1</v>
      </c>
    </row>
    <row r="80" spans="1:1" x14ac:dyDescent="0.3">
      <c r="A80" s="1">
        <v>1</v>
      </c>
    </row>
    <row r="81" spans="1:1" x14ac:dyDescent="0.3">
      <c r="A81" s="1">
        <v>1</v>
      </c>
    </row>
    <row r="82" spans="1:1" x14ac:dyDescent="0.3">
      <c r="A82">
        <v>1</v>
      </c>
    </row>
    <row r="83" spans="1:1" x14ac:dyDescent="0.3">
      <c r="A83" s="1">
        <v>1</v>
      </c>
    </row>
    <row r="84" spans="1:1" x14ac:dyDescent="0.3">
      <c r="A84">
        <v>1</v>
      </c>
    </row>
    <row r="85" spans="1:1" x14ac:dyDescent="0.3">
      <c r="A85" s="1">
        <v>1</v>
      </c>
    </row>
    <row r="86" spans="1:1" x14ac:dyDescent="0.3">
      <c r="A86">
        <v>1</v>
      </c>
    </row>
    <row r="87" spans="1:1" x14ac:dyDescent="0.3">
      <c r="A87" s="1">
        <v>1</v>
      </c>
    </row>
    <row r="88" spans="1:1" x14ac:dyDescent="0.3">
      <c r="A88" s="1">
        <v>1</v>
      </c>
    </row>
    <row r="89" spans="1:1" x14ac:dyDescent="0.3">
      <c r="A89" s="1">
        <v>1</v>
      </c>
    </row>
    <row r="90" spans="1:1" x14ac:dyDescent="0.3">
      <c r="A90" s="1">
        <v>1</v>
      </c>
    </row>
    <row r="91" spans="1:1" x14ac:dyDescent="0.3">
      <c r="A91" s="1">
        <v>1</v>
      </c>
    </row>
    <row r="92" spans="1:1" x14ac:dyDescent="0.3">
      <c r="A92" s="1">
        <v>1</v>
      </c>
    </row>
    <row r="93" spans="1:1" x14ac:dyDescent="0.3">
      <c r="A93">
        <v>1</v>
      </c>
    </row>
    <row r="94" spans="1:1" x14ac:dyDescent="0.3">
      <c r="A94">
        <v>1</v>
      </c>
    </row>
    <row r="95" spans="1:1" x14ac:dyDescent="0.3">
      <c r="A95" s="1">
        <v>1</v>
      </c>
    </row>
    <row r="96" spans="1:1" x14ac:dyDescent="0.3">
      <c r="A96" s="1">
        <v>1</v>
      </c>
    </row>
    <row r="97" spans="1:1" x14ac:dyDescent="0.3">
      <c r="A97" s="1">
        <v>1</v>
      </c>
    </row>
    <row r="98" spans="1:1" x14ac:dyDescent="0.3">
      <c r="A98" s="1">
        <v>1</v>
      </c>
    </row>
    <row r="99" spans="1:1" x14ac:dyDescent="0.3">
      <c r="A99" s="1">
        <v>1</v>
      </c>
    </row>
    <row r="100" spans="1:1" x14ac:dyDescent="0.3">
      <c r="A100" s="1">
        <v>1</v>
      </c>
    </row>
    <row r="101" spans="1:1" x14ac:dyDescent="0.3">
      <c r="A101" s="1">
        <v>1</v>
      </c>
    </row>
    <row r="102" spans="1:1" x14ac:dyDescent="0.3">
      <c r="A102" s="2"/>
    </row>
  </sheetData>
  <sortState xmlns:xlrd2="http://schemas.microsoft.com/office/spreadsheetml/2017/richdata2" ref="A2:A109">
    <sortCondition ref="A1:A1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Adaptive Staircase Final-1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2025-09-02T04:10:12Z</dcterms:created>
  <dcterms:modified xsi:type="dcterms:W3CDTF">2025-09-04T14:06:12Z</dcterms:modified>
</cp:coreProperties>
</file>